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7"/>
  <workbookPr filterPrivacy="1"/>
  <xr:revisionPtr revIDLastSave="0" documentId="8_{88CB49DC-CA6B-CE4A-AE08-7535877D2127}" xr6:coauthVersionLast="47" xr6:coauthVersionMax="47" xr10:uidLastSave="{00000000-0000-0000-0000-000000000000}"/>
  <bookViews>
    <workbookView xWindow="-60" yWindow="-60" windowWidth="15480" windowHeight="11640" xr2:uid="{8A7F4862-94B7-48A2-B1DC-01574B09D2D9}"/>
  </bookViews>
  <sheets>
    <sheet name="Table of Contents" sheetId="1" r:id="rId1"/>
    <sheet name="Translation Table - 2025" sheetId="2" r:id="rId2"/>
    <sheet name="Multi Seg Seg" sheetId="3" r:id="rId3"/>
    <sheet name="Multi-Seg Seg Raw" sheetId="4" r:id="rId4"/>
    <sheet name="Response Dana Point, CA+" sheetId="5" r:id="rId5"/>
    <sheet name="Response Newport Beach, CA+" sheetId="6" r:id="rId6"/>
    <sheet name="Response La Jolla, CA+" sheetId="7" r:id="rId7"/>
    <sheet name="Response Santa Barbara, CA+" sheetId="8" r:id="rId8"/>
    <sheet name="Resp Monterey-Carmel, CA+" sheetId="9" r:id="rId9"/>
    <sheet name="Response Hunting Beach, CA+" sheetId="10" r:id="rId10"/>
    <sheet name="Help" sheetId="11" r:id="rId11"/>
  </sheets>
  <definedNames>
    <definedName name="_xlnm.Print_Area" localSheetId="10">Help!$A$1:$O$31</definedName>
    <definedName name="_xlnm.Print_Area" localSheetId="2">'Multi Seg Seg'!$A$1:$AB$56</definedName>
    <definedName name="_xlnm.Print_Area" localSheetId="3">'Multi-Seg Seg Raw'!$A$1:$V$57</definedName>
    <definedName name="_xlnm.Print_Area" localSheetId="8">'Resp Monterey-Carmel, CA+'!$A$1:$AL$111</definedName>
    <definedName name="_xlnm.Print_Area" localSheetId="4">'Response Dana Point, CA+'!$A$1:$AL$27</definedName>
    <definedName name="_xlnm.Print_Area" localSheetId="9">'Response Hunting Beach, CA+'!$A$1:$AL$41</definedName>
    <definedName name="_xlnm.Print_Area" localSheetId="6">'Response La Jolla, CA+'!$A$1:$AL$45</definedName>
    <definedName name="_xlnm.Print_Area" localSheetId="5">'Response Newport Beach, CA+'!$A$1:$AL$39</definedName>
    <definedName name="_xlnm.Print_Area" localSheetId="7">'Response Santa Barbara, CA+'!$A$1:$AL$96</definedName>
    <definedName name="_xlnm.Print_Area" localSheetId="0">'Table of Contents'!$A$1:$H$37</definedName>
    <definedName name="_xlnm.Print_Area" localSheetId="1">'Translation Table - 2025'!$A$1:$X$43</definedName>
    <definedName name="_xlnm.Print_Titles" localSheetId="8">'Resp Monterey-Carmel, CA+'!$1:$6</definedName>
    <definedName name="_xlnm.Print_Titles" localSheetId="4">'Response Dana Point, CA+'!$1:$6</definedName>
    <definedName name="_xlnm.Print_Titles" localSheetId="9">'Response Hunting Beach, CA+'!$1:$6</definedName>
    <definedName name="_xlnm.Print_Titles" localSheetId="6">'Response La Jolla, CA+'!$1:$6</definedName>
    <definedName name="_xlnm.Print_Titles" localSheetId="5">'Response Newport Beach, CA+'!$1:$6</definedName>
    <definedName name="_xlnm.Print_Titles" localSheetId="7">'Response Santa Barbara, CA+'!$1:$6</definedName>
  </definedNames>
  <calcPr calcId="191028" iterateDelta="9.9999999999994451E-4"/>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D8" i="1"/>
  <c r="B9" i="1"/>
  <c r="D9" i="1"/>
  <c r="B10" i="1"/>
  <c r="D10" i="1"/>
  <c r="B11" i="1"/>
  <c r="D11" i="1"/>
  <c r="B12" i="1"/>
  <c r="D12" i="1"/>
  <c r="B13" i="1"/>
  <c r="D13" i="1"/>
  <c r="B14" i="1"/>
  <c r="D14" i="1"/>
  <c r="B15" i="1"/>
  <c r="D15" i="1"/>
  <c r="B16" i="1"/>
  <c r="D16" i="1"/>
  <c r="B17" i="1"/>
  <c r="D17" i="1"/>
  <c r="A5" i="11"/>
  <c r="A9" i="11"/>
  <c r="A12" i="11"/>
  <c r="A14" i="11"/>
  <c r="A15" i="11"/>
</calcChain>
</file>

<file path=xl/sharedStrings.xml><?xml version="1.0" encoding="utf-8"?>
<sst xmlns="http://schemas.openxmlformats.org/spreadsheetml/2006/main" count="5327" uniqueCount="630">
  <si>
    <t>Date Created: May 05, 2026</t>
  </si>
  <si>
    <t>Visit Dana Point</t>
  </si>
  <si>
    <t>For the Week of April 26, 2026 to May 02, 2026</t>
  </si>
  <si>
    <t>Table Of Contents</t>
  </si>
  <si>
    <t>Corporate North American Headquarters</t>
  </si>
  <si>
    <t>International Headquarters</t>
  </si>
  <si>
    <t>T : +1 (615) 824 8664</t>
  </si>
  <si>
    <t>T : +44 (0)207 922 1930</t>
  </si>
  <si>
    <t>destininfo@str.com     www.str.com</t>
  </si>
  <si>
    <t>industryinfo@str.com     www.str.com</t>
  </si>
  <si>
    <t>2026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2026 STR, LLC / STR Global, Ltd. trading as "STR".</t>
  </si>
  <si>
    <t>Tab 2 - Weekly Year Over Year Translation Table</t>
  </si>
  <si>
    <t>Sun</t>
  </si>
  <si>
    <t>Mon</t>
  </si>
  <si>
    <t>Tue</t>
  </si>
  <si>
    <t>Wed</t>
  </si>
  <si>
    <t>Thu</t>
  </si>
  <si>
    <t>Fri</t>
  </si>
  <si>
    <t>Sat</t>
  </si>
  <si>
    <t>Apr</t>
  </si>
  <si>
    <t>→</t>
  </si>
  <si>
    <t>Apr / May</t>
  </si>
  <si>
    <t>May</t>
  </si>
  <si>
    <t>This Year</t>
  </si>
  <si>
    <t>Last Year</t>
  </si>
  <si>
    <t>Sunday, Apr 5th</t>
  </si>
  <si>
    <t xml:space="preserve"> - Easter Sunday</t>
  </si>
  <si>
    <t>Sunday, Apr 13th</t>
  </si>
  <si>
    <t xml:space="preserve"> - First Day of Passover</t>
  </si>
  <si>
    <t>Sunday, May 10th</t>
  </si>
  <si>
    <t xml:space="preserve"> - Mother's Day</t>
  </si>
  <si>
    <t>Friday, Apr 18th</t>
  </si>
  <si>
    <t xml:space="preserve"> - Good Friday</t>
  </si>
  <si>
    <t>Sunday, Apr 20th</t>
  </si>
  <si>
    <t>Sunday, May 11th</t>
  </si>
  <si>
    <t>Number of Weekdays:</t>
  </si>
  <si>
    <t>Number of Weekend Days:</t>
  </si>
  <si>
    <r>
      <t>Note:</t>
    </r>
    <r>
      <rPr>
        <sz val="10"/>
        <rFont val="Arial"/>
      </rPr>
      <t xml:space="preserve"> Weekdays - Sunday through Thursday,  Weekends - Friday and Saturday</t>
    </r>
  </si>
  <si>
    <t>Tab 2 - Multi Seg Seg: Visit Dana Point</t>
  </si>
  <si>
    <t>Currency: USD - US Dollar</t>
  </si>
  <si>
    <t>Current Week</t>
  </si>
  <si>
    <t>Percent Change</t>
  </si>
  <si>
    <t>Occupancy (%)</t>
  </si>
  <si>
    <t>ADR</t>
  </si>
  <si>
    <t>RevPAR</t>
  </si>
  <si>
    <t>ADR (%)</t>
  </si>
  <si>
    <t>RevPAR (%)</t>
  </si>
  <si>
    <t>Segment</t>
  </si>
  <si>
    <t>Trans.</t>
  </si>
  <si>
    <t>Grp.</t>
  </si>
  <si>
    <t>Cont.</t>
  </si>
  <si>
    <t>Total</t>
  </si>
  <si>
    <t>Dana Point, CA+</t>
  </si>
  <si>
    <t>Newport Beach, CA+</t>
  </si>
  <si>
    <t>La Jolla, CA+</t>
  </si>
  <si>
    <t>Santa Barbara, CA+</t>
  </si>
  <si>
    <t>Monterey-Carmel, CA+</t>
  </si>
  <si>
    <t>Huntington Beach, CA+</t>
  </si>
  <si>
    <t>Running 28 Days</t>
  </si>
  <si>
    <t>A blank row indicates insufficient data.</t>
  </si>
  <si>
    <t>Tab 3 - Multi-Seg Seg Raw: Visit Dana Point</t>
  </si>
  <si>
    <t>Current Week - This Year</t>
  </si>
  <si>
    <t>Current Week - Last Year</t>
  </si>
  <si>
    <t>Supply</t>
  </si>
  <si>
    <t>Demand</t>
  </si>
  <si>
    <t>Revenue</t>
  </si>
  <si>
    <t>Con.</t>
  </si>
  <si>
    <t>Running 28 Days - This Year</t>
  </si>
  <si>
    <t>Running 28 Days - Last Year</t>
  </si>
  <si>
    <t>Tab 4 - Response Dana Point, CA+: Visit Dana Point</t>
  </si>
  <si>
    <t>STR Code</t>
  </si>
  <si>
    <t>Name of Establishment</t>
  </si>
  <si>
    <t>City &amp; State</t>
  </si>
  <si>
    <t>Zip Code</t>
  </si>
  <si>
    <t>Aff Date</t>
  </si>
  <si>
    <t>Open Date</t>
  </si>
  <si>
    <t>Rooms</t>
  </si>
  <si>
    <t>Chg in Rms</t>
  </si>
  <si>
    <t>Best Western Plus Dana Point Inn-by-the-Sea</t>
  </si>
  <si>
    <t xml:space="preserve">Dana Point, CA </t>
  </si>
  <si>
    <t>92624</t>
  </si>
  <si>
    <t>Mar 2011</t>
  </si>
  <si>
    <t>Jun 1985</t>
  </si>
  <si>
    <t>B</t>
  </si>
  <si>
    <t>Closed - El Caminante Bar &amp; Bungalows</t>
  </si>
  <si>
    <t>Feb 2026</t>
  </si>
  <si>
    <t>Jun 1936</t>
  </si>
  <si>
    <t>Y</t>
  </si>
  <si>
    <t>L</t>
  </si>
  <si>
    <t>Hilton Garden Inn Dana Point Doheny Beach</t>
  </si>
  <si>
    <t>Aug 2024</t>
  </si>
  <si>
    <t>May 1992</t>
  </si>
  <si>
    <t>Best Western Plus Marina Shores Hotel</t>
  </si>
  <si>
    <t>92629</t>
  </si>
  <si>
    <t>Jul 2012</t>
  </si>
  <si>
    <t>Jun 1991</t>
  </si>
  <si>
    <t>Blue Lantern Inn</t>
  </si>
  <si>
    <t>Jun 1990</t>
  </si>
  <si>
    <t>Closed - Dana Marina Motel</t>
  </si>
  <si>
    <t>Jan 2014</t>
  </si>
  <si>
    <t>Jun 1949</t>
  </si>
  <si>
    <t>Closed - Dana Point Harbor Inn</t>
  </si>
  <si>
    <t>Jan 2016</t>
  </si>
  <si>
    <t>Dana Point Marina Inn</t>
  </si>
  <si>
    <t>Jun 2001</t>
  </si>
  <si>
    <t>Jun 1972</t>
  </si>
  <si>
    <t>Laguna Cliffs Marriott Resort &amp; Spa</t>
  </si>
  <si>
    <t>Feb 2021</t>
  </si>
  <si>
    <t>Sep 1987</t>
  </si>
  <si>
    <t>The Ritz-Carlton, Laguna Niguel</t>
  </si>
  <si>
    <t>Jun 1984</t>
  </si>
  <si>
    <t>Waldorf Astoria Monarch Beach Resort &amp; Club</t>
  </si>
  <si>
    <t>Jan 2021</t>
  </si>
  <si>
    <t>Jul 2001</t>
  </si>
  <si>
    <t>Total Properties:</t>
  </si>
  <si>
    <t>T</t>
  </si>
  <si>
    <t>- This Year data received by STR</t>
  </si>
  <si>
    <t>- Last Year data received by STR</t>
  </si>
  <si>
    <t>- Both This Year &amp; Last Year data received by STR</t>
  </si>
  <si>
    <t>Blank - No data received by STR</t>
  </si>
  <si>
    <t>- (Chg in Rms) Property has experienced a room addition or drop during the last 2 years to this report period.</t>
  </si>
  <si>
    <t>Tab 5 - Response Newport Beach, CA+: Visit Dana Point</t>
  </si>
  <si>
    <t>The Resort at Pelican Hill</t>
  </si>
  <si>
    <t xml:space="preserve">Newport Beach, CA </t>
  </si>
  <si>
    <t>92657</t>
  </si>
  <si>
    <t>Jul 2024</t>
  </si>
  <si>
    <t>Nov 2008</t>
  </si>
  <si>
    <t>Extended Stay America Orange County - John Wayne Airport</t>
  </si>
  <si>
    <t>92660</t>
  </si>
  <si>
    <t>Mar 2001</t>
  </si>
  <si>
    <t>Hyatt Regency Newport Beach</t>
  </si>
  <si>
    <t>Jun 2020</t>
  </si>
  <si>
    <t>Jun 1963</t>
  </si>
  <si>
    <t>Hyatt Regency Newport Beach West</t>
  </si>
  <si>
    <t>Jul 2020</t>
  </si>
  <si>
    <t>Jun 1974</t>
  </si>
  <si>
    <t>Newport Beach Marriott Bayview</t>
  </si>
  <si>
    <t>Jun 1988</t>
  </si>
  <si>
    <t>Newport Dunes Resort</t>
  </si>
  <si>
    <t>Jun 2003</t>
  </si>
  <si>
    <t>Pendry Newport Beach</t>
  </si>
  <si>
    <t>Sep 2023</t>
  </si>
  <si>
    <t>Jun 1986</t>
  </si>
  <si>
    <t>Renaissance Newport Beach Hotel</t>
  </si>
  <si>
    <t>Jun 1983</t>
  </si>
  <si>
    <t>VEA Newport Beach, A Marriott Resort &amp; Spa</t>
  </si>
  <si>
    <t>Apr 1975</t>
  </si>
  <si>
    <t>Balboa Condos by ELVR</t>
  </si>
  <si>
    <t>92661</t>
  </si>
  <si>
    <t>Nov 2023</t>
  </si>
  <si>
    <t>Balboa Inn</t>
  </si>
  <si>
    <t>Jun 1929</t>
  </si>
  <si>
    <t>Balboa Bay Resort</t>
  </si>
  <si>
    <t>92663</t>
  </si>
  <si>
    <t>May 2003</t>
  </si>
  <si>
    <t>Bay Shores Peninsula Hotel</t>
  </si>
  <si>
    <t>Nov 2025</t>
  </si>
  <si>
    <t>Closed - Balboa Bay Club</t>
  </si>
  <si>
    <t>Jan 1955</t>
  </si>
  <si>
    <t>Closed - Pine Knot Motel</t>
  </si>
  <si>
    <t>Aug 2016</t>
  </si>
  <si>
    <t>Closed - Sea &amp; Sun Lodge</t>
  </si>
  <si>
    <t>Oct 1990</t>
  </si>
  <si>
    <t>Doryman's Oceanfront  Inn</t>
  </si>
  <si>
    <t>Holiday Inn Express Newport Beach</t>
  </si>
  <si>
    <t>May 2020</t>
  </si>
  <si>
    <t>Hotel Solarena Newport Beach</t>
  </si>
  <si>
    <t>Dec 2021</t>
  </si>
  <si>
    <t>Jun 1970</t>
  </si>
  <si>
    <t>Lido House, Autograph Collection</t>
  </si>
  <si>
    <t>Apr 2018</t>
  </si>
  <si>
    <t>Little Inn By The Bay</t>
  </si>
  <si>
    <t>Jun 1976</t>
  </si>
  <si>
    <t>Newport Beach Hotel</t>
  </si>
  <si>
    <t>Jun 1930</t>
  </si>
  <si>
    <t>Newport Channel Inn</t>
  </si>
  <si>
    <t>Apr 1962</t>
  </si>
  <si>
    <t>Tab 6 - Response La Jolla, CA+: Visit Dana Point</t>
  </si>
  <si>
    <t>Closed - Andrea Villa Inn</t>
  </si>
  <si>
    <t xml:space="preserve">La Jolla, CA </t>
  </si>
  <si>
    <t>92037</t>
  </si>
  <si>
    <t>Mar 2005</t>
  </si>
  <si>
    <t>Jun 1961</t>
  </si>
  <si>
    <t>Closed - Hotel Parisi</t>
  </si>
  <si>
    <t>May 2013</t>
  </si>
  <si>
    <t>May 1999</t>
  </si>
  <si>
    <t>Closed - Inn @ La Jolla</t>
  </si>
  <si>
    <t>Jun 2002</t>
  </si>
  <si>
    <t>Jun 1955</t>
  </si>
  <si>
    <t>Closed - La Jolla Biltmore Motel</t>
  </si>
  <si>
    <t>Jun 1969</t>
  </si>
  <si>
    <t>Closed - La Jolla Inn</t>
  </si>
  <si>
    <t>Jun 1993</t>
  </si>
  <si>
    <t>Closed - La Jolla Shores Inn</t>
  </si>
  <si>
    <t>Jun 1953</t>
  </si>
  <si>
    <t>Closed - La Jolla Village Lodge</t>
  </si>
  <si>
    <t>Mar 2021</t>
  </si>
  <si>
    <t>Jun 1950</t>
  </si>
  <si>
    <t>Closed - Light House Pacifica</t>
  </si>
  <si>
    <t>Mar 1992</t>
  </si>
  <si>
    <t>Closed - Shell Beach Motel</t>
  </si>
  <si>
    <t>Jun 2009</t>
  </si>
  <si>
    <t>Cormorant Boutique Hotel</t>
  </si>
  <si>
    <t>May 2022</t>
  </si>
  <si>
    <t>Jun 1951</t>
  </si>
  <si>
    <t>Empress Hotel La Jolla</t>
  </si>
  <si>
    <t>Jun 1977</t>
  </si>
  <si>
    <t>Estancia La Jolla Hotel &amp; Spa</t>
  </si>
  <si>
    <t>Jun 2004</t>
  </si>
  <si>
    <t>Grande Colonial La Jolla</t>
  </si>
  <si>
    <t>Feb 1913</t>
  </si>
  <si>
    <t>Hilton La Jolla Torrey Pines</t>
  </si>
  <si>
    <t>Dec 1998</t>
  </si>
  <si>
    <t>Nov 1989</t>
  </si>
  <si>
    <t>Holiday Inn Express &amp; Suites La Jolla - Windansea Beach</t>
  </si>
  <si>
    <t>Mar 1996</t>
  </si>
  <si>
    <t>Jun 1959</t>
  </si>
  <si>
    <t>Hotel La Jolla Curio Collection by Hilton</t>
  </si>
  <si>
    <t>Apr 2016</t>
  </si>
  <si>
    <t>Jan 1972</t>
  </si>
  <si>
    <t>Inn by the Sea, La Jolla</t>
  </si>
  <si>
    <t>Dec 2015</t>
  </si>
  <si>
    <t>Jun 1971</t>
  </si>
  <si>
    <t>La Jolla Beach &amp; Tennis Club</t>
  </si>
  <si>
    <t>Jun 1935</t>
  </si>
  <si>
    <t>La Jolla Cove Hotel</t>
  </si>
  <si>
    <t>May 1959</t>
  </si>
  <si>
    <t>La Jolla Shores Hotel</t>
  </si>
  <si>
    <t>La Valencia Hotel</t>
  </si>
  <si>
    <t>Dec 1926</t>
  </si>
  <si>
    <t>Orli La Jolla</t>
  </si>
  <si>
    <t>Oct 2022</t>
  </si>
  <si>
    <t>Jun 1980</t>
  </si>
  <si>
    <t>Pantai Inn</t>
  </si>
  <si>
    <t>Jun 2011</t>
  </si>
  <si>
    <t>Residence Inn San Diego La Jolla</t>
  </si>
  <si>
    <t>Mar 1986</t>
  </si>
  <si>
    <t>San Diego Marriott La Jolla</t>
  </si>
  <si>
    <t>Dec 1985</t>
  </si>
  <si>
    <t>Scripps Inn</t>
  </si>
  <si>
    <t>Jun 1982</t>
  </si>
  <si>
    <t>Sheraton Hotel La Jolla</t>
  </si>
  <si>
    <t>The Lodge at Torrey Pines</t>
  </si>
  <si>
    <t>Apr 2002</t>
  </si>
  <si>
    <t>The Shoal La Jolla Beach</t>
  </si>
  <si>
    <t>Dec 2018</t>
  </si>
  <si>
    <t>Jun 1956</t>
  </si>
  <si>
    <t>Tab 7 - Response Santa Barbara, CA+: Visit Dana Point</t>
  </si>
  <si>
    <t>Ala Mar Inn</t>
  </si>
  <si>
    <t xml:space="preserve">Santa Barbara, CA </t>
  </si>
  <si>
    <t>93101</t>
  </si>
  <si>
    <t>Avania Inn of Santa Barbara</t>
  </si>
  <si>
    <t>Bath Street Inn</t>
  </si>
  <si>
    <t>Jun 1981</t>
  </si>
  <si>
    <t>Beach House Inn</t>
  </si>
  <si>
    <t>Beachside Inn</t>
  </si>
  <si>
    <t>Dec 2019</t>
  </si>
  <si>
    <t>Brisas del Mar, Inn at the Beach</t>
  </si>
  <si>
    <t>Jun 1962</t>
  </si>
  <si>
    <t>Casa Del Mar Inn</t>
  </si>
  <si>
    <t>Jun 1925</t>
  </si>
  <si>
    <t>Casa Jardin</t>
  </si>
  <si>
    <t>Castillo Inn</t>
  </si>
  <si>
    <t>Jul 2002</t>
  </si>
  <si>
    <t>Jun 1948</t>
  </si>
  <si>
    <t>Cheshire Cat Inn</t>
  </si>
  <si>
    <t>Aug 2020</t>
  </si>
  <si>
    <t>Closed - Arlington Inn</t>
  </si>
  <si>
    <t>Oct 1996</t>
  </si>
  <si>
    <t>Closed - Days Inn Santa Barbara Oceanside</t>
  </si>
  <si>
    <t>Mar 1995</t>
  </si>
  <si>
    <t>Closed - Hotel State Street</t>
  </si>
  <si>
    <t>Nov 2010</t>
  </si>
  <si>
    <t>Jun 1928</t>
  </si>
  <si>
    <t>Closed - Montecito Del Mar</t>
  </si>
  <si>
    <t>Jun 2005</t>
  </si>
  <si>
    <t>Closed - Ocean Palm Beach Resort</t>
  </si>
  <si>
    <t>Dec 2001</t>
  </si>
  <si>
    <t>Courtyard Santa Barbara Downtown</t>
  </si>
  <si>
    <t>Dec 2022</t>
  </si>
  <si>
    <t>Jun 1960</t>
  </si>
  <si>
    <t>De La Vina Inn</t>
  </si>
  <si>
    <t>Jan 1984</t>
  </si>
  <si>
    <t>Drift Santa Barbara</t>
  </si>
  <si>
    <t>Feb 2023</t>
  </si>
  <si>
    <t>Fiesta Inn &amp; Suites</t>
  </si>
  <si>
    <t>Jul 2026</t>
  </si>
  <si>
    <t>Jun 1965</t>
  </si>
  <si>
    <t>Haley Hotel</t>
  </si>
  <si>
    <t>Jun 2018</t>
  </si>
  <si>
    <t>Harbor House Inn</t>
  </si>
  <si>
    <t>Harbor View Inn</t>
  </si>
  <si>
    <t>Hideaway Santa Barbara, A Kirkwood Collection Hotel</t>
  </si>
  <si>
    <t>Apr 2019</t>
  </si>
  <si>
    <t>Hotel Californian</t>
  </si>
  <si>
    <t>Sep 2017</t>
  </si>
  <si>
    <t>Hotel Santa Barbara</t>
  </si>
  <si>
    <t>Hotel Virginia Santa Barbara, Tapestry Collection by Hilton</t>
  </si>
  <si>
    <t>Jul 2022</t>
  </si>
  <si>
    <t>Jun 1916</t>
  </si>
  <si>
    <t>Inn by the Harbor</t>
  </si>
  <si>
    <t>ITH Santa Barbara Beach Hostel</t>
  </si>
  <si>
    <t>Jul 2023</t>
  </si>
  <si>
    <t>Jan 1970</t>
  </si>
  <si>
    <t>Kimpton Canary Hotel</t>
  </si>
  <si>
    <t>Apr 2012</t>
  </si>
  <si>
    <t>Dec 2004</t>
  </si>
  <si>
    <t>La Playa Inn</t>
  </si>
  <si>
    <t>Mar 2020</t>
  </si>
  <si>
    <t>Lavender Inn by the Sea</t>
  </si>
  <si>
    <t>Jun 1957</t>
  </si>
  <si>
    <t>Marina Beach Motel</t>
  </si>
  <si>
    <t>Mason Beach Inn</t>
  </si>
  <si>
    <t>MOXY Santa Barbara</t>
  </si>
  <si>
    <t>Mar 2024</t>
  </si>
  <si>
    <t>Aug 2014</t>
  </si>
  <si>
    <t>Orange Tree Inn</t>
  </si>
  <si>
    <t>Apr 2022</t>
  </si>
  <si>
    <t>Jun 1945</t>
  </si>
  <si>
    <t>Palihouse Santa Barbara</t>
  </si>
  <si>
    <t>Sep 2001</t>
  </si>
  <si>
    <t>Riviera Beach House</t>
  </si>
  <si>
    <t>Feb 2012</t>
  </si>
  <si>
    <t>Secret Garden Inn &amp; Cottages</t>
  </si>
  <si>
    <t>Simpson House Inn</t>
  </si>
  <si>
    <t>Jul 1984</t>
  </si>
  <si>
    <t>The Craft House Inn</t>
  </si>
  <si>
    <t>The Eagle Inn</t>
  </si>
  <si>
    <t>Jun 1931</t>
  </si>
  <si>
    <t>The Franciscan Hotel</t>
  </si>
  <si>
    <t>The Milo, Hotel by the Sea</t>
  </si>
  <si>
    <t>Jun 1952</t>
  </si>
  <si>
    <t>The Presidio</t>
  </si>
  <si>
    <t>The Upham Hotel</t>
  </si>
  <si>
    <t>Villa Rosa Inn</t>
  </si>
  <si>
    <t>West Beach Inn, a Coast Hotel</t>
  </si>
  <si>
    <t>Jan 2003</t>
  </si>
  <si>
    <t>Blue Sands Inn, A Kirkwood Collection Hotel</t>
  </si>
  <si>
    <t>93103</t>
  </si>
  <si>
    <t>Jun 2019</t>
  </si>
  <si>
    <t>Jun 1954</t>
  </si>
  <si>
    <t>Cabrillo Inn At The Beach</t>
  </si>
  <si>
    <t>Jun 1947</t>
  </si>
  <si>
    <t>Closed - El Escorial</t>
  </si>
  <si>
    <t>El Encanto Santa Barbara</t>
  </si>
  <si>
    <t>Jul 2025</t>
  </si>
  <si>
    <t>Jun 1918</t>
  </si>
  <si>
    <t>Hilton Santa Barbara Beachfront Resort</t>
  </si>
  <si>
    <t>Jan 1987</t>
  </si>
  <si>
    <t>Inn At East Beach</t>
  </si>
  <si>
    <t>Mar Monte Hotel, The Unbound Collection by Hyatt</t>
  </si>
  <si>
    <t>Motel 6 Santa Barbara, CA - Beach</t>
  </si>
  <si>
    <t>Pacific Crest Hotel</t>
  </si>
  <si>
    <t>Jan 1958</t>
  </si>
  <si>
    <t>Santa Barbara Inn</t>
  </si>
  <si>
    <t>Tribute Portfolio Santa Barbara</t>
  </si>
  <si>
    <t>U/C</t>
  </si>
  <si>
    <t>Agave Inn</t>
  </si>
  <si>
    <t>93105</t>
  </si>
  <si>
    <t>Jun 1994</t>
  </si>
  <si>
    <t>Best Western Plus Santa Barbara</t>
  </si>
  <si>
    <t>Closed - Quality Inn Santa Barbara</t>
  </si>
  <si>
    <t>Apr 2024</t>
  </si>
  <si>
    <t>Closed - Sandman Inn</t>
  </si>
  <si>
    <t>Mar 2015</t>
  </si>
  <si>
    <t>FOUND Hotels, Santa Barbara, Series by Marriott</t>
  </si>
  <si>
    <t>Mar 2026</t>
  </si>
  <si>
    <t>Holiday Lodge Motel</t>
  </si>
  <si>
    <t>Lemon Tree Inn</t>
  </si>
  <si>
    <t>Oct 1993</t>
  </si>
  <si>
    <t>Dec 1940</t>
  </si>
  <si>
    <t>Motel 6 Santa Barbara, CA - State Street</t>
  </si>
  <si>
    <t>Jul 1962</t>
  </si>
  <si>
    <t>Oasis Inn &amp; Suites - Santa Barbara</t>
  </si>
  <si>
    <t>Mar 2010</t>
  </si>
  <si>
    <t>Rose Garden Inn</t>
  </si>
  <si>
    <t>Feb 2022</t>
  </si>
  <si>
    <t>Sandpiper Lodge</t>
  </si>
  <si>
    <t>Jun 1964</t>
  </si>
  <si>
    <t>Sunset Motel</t>
  </si>
  <si>
    <t>Jun 1996</t>
  </si>
  <si>
    <t>Town &amp; Country Inn</t>
  </si>
  <si>
    <t>Closed - Miramar By The Sea</t>
  </si>
  <si>
    <t>93108</t>
  </si>
  <si>
    <t>Aug 2000</t>
  </si>
  <si>
    <t>Coast Village Inn</t>
  </si>
  <si>
    <t>Four Seasons Resort The Biltmore Santa Barbara</t>
  </si>
  <si>
    <t>Inn On Summer Hill</t>
  </si>
  <si>
    <t>Jun 1989</t>
  </si>
  <si>
    <t>Montecito Inn</t>
  </si>
  <si>
    <t>Feb 1928</t>
  </si>
  <si>
    <t>Hyatt Place Santa Barbara</t>
  </si>
  <si>
    <t>93110</t>
  </si>
  <si>
    <t>Aug 2019</t>
  </si>
  <si>
    <t>Ramada by Wyndham Santa Barbara</t>
  </si>
  <si>
    <t>Jan 2011</t>
  </si>
  <si>
    <t>Extended Stay America - Santa Barbara - Calle Real</t>
  </si>
  <si>
    <t>93111</t>
  </si>
  <si>
    <t>Jan 1998</t>
  </si>
  <si>
    <t>The Steward, Santa Barbara, a Tribute Portfolio Hotel</t>
  </si>
  <si>
    <t>Aug 1990</t>
  </si>
  <si>
    <t>Tab 8 - Resp Monterey-Carmel, CA+: Visit Dana Point</t>
  </si>
  <si>
    <t>Adobe Inn</t>
  </si>
  <si>
    <t xml:space="preserve">Carmel, CA </t>
  </si>
  <si>
    <t>93921</t>
  </si>
  <si>
    <t>Best Western Carmel's Town House Lodge</t>
  </si>
  <si>
    <t>Carmel Bay View Inn</t>
  </si>
  <si>
    <t>Dec 2017</t>
  </si>
  <si>
    <t>Jun 1987</t>
  </si>
  <si>
    <t>Carmel Inn</t>
  </si>
  <si>
    <t>Comfort Inn Carmel By The Sea</t>
  </si>
  <si>
    <t>Jul 2004</t>
  </si>
  <si>
    <t>May 1985</t>
  </si>
  <si>
    <t>Green Lantern Inn</t>
  </si>
  <si>
    <t>Aug 1998</t>
  </si>
  <si>
    <t>Jun 1927</t>
  </si>
  <si>
    <t>Horizon Inn &amp; Ocean View Lodge</t>
  </si>
  <si>
    <t>Hotel Carmel</t>
  </si>
  <si>
    <t>Le Petit Pali at 8th Ave</t>
  </si>
  <si>
    <t>Jun 2023</t>
  </si>
  <si>
    <t>Le Petit Pali at Ocean Ave</t>
  </si>
  <si>
    <t>Lobos Lodge</t>
  </si>
  <si>
    <t>Jun 1975</t>
  </si>
  <si>
    <t>Normandy Inn</t>
  </si>
  <si>
    <t>Jun 1937</t>
  </si>
  <si>
    <t>Pine Inn Carmel By The Sea</t>
  </si>
  <si>
    <t>Jun 1919</t>
  </si>
  <si>
    <t>Stilwell Hotel</t>
  </si>
  <si>
    <t>May 2024</t>
  </si>
  <si>
    <t>Tally Ho Inn</t>
  </si>
  <si>
    <t>May 1952</t>
  </si>
  <si>
    <t>Tradewinds Carmel</t>
  </si>
  <si>
    <t>Wayside Inn</t>
  </si>
  <si>
    <t>Carmel Country Inn</t>
  </si>
  <si>
    <t>93923</t>
  </si>
  <si>
    <t>Carmel Garden Inn</t>
  </si>
  <si>
    <t>Carmel Mission Inn</t>
  </si>
  <si>
    <t>Nov 2013</t>
  </si>
  <si>
    <t>Jun 1968</t>
  </si>
  <si>
    <t>Carmel River Inn</t>
  </si>
  <si>
    <t>Jun 1934</t>
  </si>
  <si>
    <t>Carmel Valley Ranch</t>
  </si>
  <si>
    <t>Hyatt Carmel Highlands</t>
  </si>
  <si>
    <t>Jun 1917</t>
  </si>
  <si>
    <t>Mission Ranch Resort</t>
  </si>
  <si>
    <t>The Homestead</t>
  </si>
  <si>
    <t>Nov 1945</t>
  </si>
  <si>
    <t>The Quail</t>
  </si>
  <si>
    <t>Apr 2013</t>
  </si>
  <si>
    <t>Tickle Pink Inn</t>
  </si>
  <si>
    <t>Vendange Carmel Inn &amp; Suites</t>
  </si>
  <si>
    <t>Villa Mara Carmel</t>
  </si>
  <si>
    <t>Americas Best Value Presidents Inn On Munras</t>
  </si>
  <si>
    <t xml:space="preserve">Monterey, CA </t>
  </si>
  <si>
    <t>93940</t>
  </si>
  <si>
    <t>Jun 2008</t>
  </si>
  <si>
    <t>Arbor Inn</t>
  </si>
  <si>
    <t>Nov 2015</t>
  </si>
  <si>
    <t>Aura Inn</t>
  </si>
  <si>
    <t>Oct 2024</t>
  </si>
  <si>
    <t>Bayside Inn</t>
  </si>
  <si>
    <t>May 1950</t>
  </si>
  <si>
    <t>Best Western De Anza Inn</t>
  </si>
  <si>
    <t>Best Western Park Crest Inn</t>
  </si>
  <si>
    <t>Best Western Plus Monterey Inn</t>
  </si>
  <si>
    <t>Blu Pacific Hotel</t>
  </si>
  <si>
    <t>May 2021</t>
  </si>
  <si>
    <t>Candle Bay Inn</t>
  </si>
  <si>
    <t>Jan 1953</t>
  </si>
  <si>
    <t>Cannery Row Inn</t>
  </si>
  <si>
    <t>Mar 2003</t>
  </si>
  <si>
    <t>Carmel Hill Lodge</t>
  </si>
  <si>
    <t>Oct 2025</t>
  </si>
  <si>
    <t>Casa Munras Garden Hotel &amp; Spa</t>
  </si>
  <si>
    <t>Casa Verde Inn</t>
  </si>
  <si>
    <t>Closed - Comfort Inn Munras Avenue Monterey</t>
  </si>
  <si>
    <t>Apr 2008</t>
  </si>
  <si>
    <t>Colton Inn</t>
  </si>
  <si>
    <t>Jan 1988</t>
  </si>
  <si>
    <t>Jun 1979</t>
  </si>
  <si>
    <t>Comfort Inn Monterey Peninsula Airport</t>
  </si>
  <si>
    <t>Jul 2006</t>
  </si>
  <si>
    <t>Days Inn by Wyndham Monterey Downtown</t>
  </si>
  <si>
    <t>Jan 2002</t>
  </si>
  <si>
    <t>Aug 1979</t>
  </si>
  <si>
    <t>Days Inn by Wyndham Monterey-Fisherman's Wharf Aquarium</t>
  </si>
  <si>
    <t>Apr 1992</t>
  </si>
  <si>
    <t>Del Monte Pines Motel</t>
  </si>
  <si>
    <t>El Castell Motel</t>
  </si>
  <si>
    <t>Fireplace Inn</t>
  </si>
  <si>
    <t>Fisherman's Cove Inn</t>
  </si>
  <si>
    <t>Hampton Inn Monterey</t>
  </si>
  <si>
    <t>Mar 2016</t>
  </si>
  <si>
    <t>Dec 1986</t>
  </si>
  <si>
    <t>Hilton Garden Inn Monterey</t>
  </si>
  <si>
    <t>Jun 2006</t>
  </si>
  <si>
    <t>Holiday Inn Express Monterey Cannery Row</t>
  </si>
  <si>
    <t>Hotel 1110</t>
  </si>
  <si>
    <t>Nov 2009</t>
  </si>
  <si>
    <t>Hotel Abrego</t>
  </si>
  <si>
    <t>Hotel Pacific</t>
  </si>
  <si>
    <t>Apr 1986</t>
  </si>
  <si>
    <t>Hyatt Regency Monterey Hotel &amp; Spa on Del Monte Golf Course</t>
  </si>
  <si>
    <t>Mar 1969</t>
  </si>
  <si>
    <t>Inn By The Bay Monterey</t>
  </si>
  <si>
    <t>InterContinental The Clement Monterey</t>
  </si>
  <si>
    <t>May 2008</t>
  </si>
  <si>
    <t>Lone Oak Lodge</t>
  </si>
  <si>
    <t>Mariposa Inn and Suites</t>
  </si>
  <si>
    <t>Merritt House Inn</t>
  </si>
  <si>
    <t>Monterey Bay Inn</t>
  </si>
  <si>
    <t>Monterey Bay Lodge</t>
  </si>
  <si>
    <t>Monterey Beach Hotel, a Tribute Portfolio Hotel</t>
  </si>
  <si>
    <t>Monterey Fairgrounds Inn</t>
  </si>
  <si>
    <t>Apr 2017</t>
  </si>
  <si>
    <t>Monterey Fireside Lodge</t>
  </si>
  <si>
    <t>Monterey Hotel</t>
  </si>
  <si>
    <t>Sep 1992</t>
  </si>
  <si>
    <t>Jun 1904</t>
  </si>
  <si>
    <t>Monterey Marriott</t>
  </si>
  <si>
    <t>Aug 1991</t>
  </si>
  <si>
    <t>Monterey Oceanside Inn</t>
  </si>
  <si>
    <t>Jan 1948</t>
  </si>
  <si>
    <t>Monterey Plaza Hotel &amp; Spa</t>
  </si>
  <si>
    <t>Monterey Surf Inn</t>
  </si>
  <si>
    <t>Motel 6 Monterey, CA</t>
  </si>
  <si>
    <t>Apr 1963</t>
  </si>
  <si>
    <t>Munras Inn</t>
  </si>
  <si>
    <t>Sep 2014</t>
  </si>
  <si>
    <t>Old Monterey Inn</t>
  </si>
  <si>
    <t>Jan 1930</t>
  </si>
  <si>
    <t>Pacific Inn Monterey</t>
  </si>
  <si>
    <t>Dec 2012</t>
  </si>
  <si>
    <t>Padre Oaks Inn</t>
  </si>
  <si>
    <t>Dec 1988</t>
  </si>
  <si>
    <t>Pelican Inn</t>
  </si>
  <si>
    <t>May 1996</t>
  </si>
  <si>
    <t>Portola Hotel &amp; Spa At Monterey</t>
  </si>
  <si>
    <t>Dec 2020</t>
  </si>
  <si>
    <t>Nov 1978</t>
  </si>
  <si>
    <t>Ramada by Wyndham Monterey</t>
  </si>
  <si>
    <t>Jun 1978</t>
  </si>
  <si>
    <t>Red Lion Hotel Monterey</t>
  </si>
  <si>
    <t>Sep 2018</t>
  </si>
  <si>
    <t>Jun 1967</t>
  </si>
  <si>
    <t>Red Roof Inn &amp; Suites Monterey</t>
  </si>
  <si>
    <t>Jun 2012</t>
  </si>
  <si>
    <t>Rodeway Inn Monterey Near Fairgrounds</t>
  </si>
  <si>
    <t>Mar 2002</t>
  </si>
  <si>
    <t>Scottish Fairway Inn</t>
  </si>
  <si>
    <t>Jan 2024</t>
  </si>
  <si>
    <t>Spindrift Inn</t>
  </si>
  <si>
    <t>Feb 1988</t>
  </si>
  <si>
    <t>Stage Coach Lodge</t>
  </si>
  <si>
    <t>Oct 2014</t>
  </si>
  <si>
    <t>Stargazer Hotel</t>
  </si>
  <si>
    <t>Oct 2016</t>
  </si>
  <si>
    <t>Jan 1976</t>
  </si>
  <si>
    <t>Super 8 by Wyndham Monterey</t>
  </si>
  <si>
    <t>Jul 2008</t>
  </si>
  <si>
    <t>Jun 1992</t>
  </si>
  <si>
    <t>The Inn At 1252 Monterey</t>
  </si>
  <si>
    <t>May 2019</t>
  </si>
  <si>
    <t>Apr 1985</t>
  </si>
  <si>
    <t>The Stevenson Monterey</t>
  </si>
  <si>
    <t>Travelodge by Wyndham Monterey Bay</t>
  </si>
  <si>
    <t>Victorian Inn</t>
  </si>
  <si>
    <t>Sep 2021</t>
  </si>
  <si>
    <t>Villa Franca Inn</t>
  </si>
  <si>
    <t>Wave Street Inn</t>
  </si>
  <si>
    <t>Jul 2017</t>
  </si>
  <si>
    <t>Tab 9 - Response Hunting Beach, CA+: Visit Dana Point</t>
  </si>
  <si>
    <t>Closed - 17251 S Beach Blvd</t>
  </si>
  <si>
    <t xml:space="preserve">Huntington Beach, CA </t>
  </si>
  <si>
    <t>92647</t>
  </si>
  <si>
    <t>Aug 2022</t>
  </si>
  <si>
    <t>Comfort Inn &amp; Suites Huntington Beach</t>
  </si>
  <si>
    <t>Nov 2018</t>
  </si>
  <si>
    <t>Extended Stay America Orange County Huntington Beach</t>
  </si>
  <si>
    <t>Hotel Europa</t>
  </si>
  <si>
    <t>Hotel Huntington Beach</t>
  </si>
  <si>
    <t>Jan 1999</t>
  </si>
  <si>
    <t>Apr 1988</t>
  </si>
  <si>
    <t>SpringHill Suites Huntington Beach Orange County</t>
  </si>
  <si>
    <t>Aug 2017</t>
  </si>
  <si>
    <t>Beach Inn Motel</t>
  </si>
  <si>
    <t>92648</t>
  </si>
  <si>
    <t>Sep 1995</t>
  </si>
  <si>
    <t>Feb 1984</t>
  </si>
  <si>
    <t>Best Western Surf City</t>
  </si>
  <si>
    <t>May 1986</t>
  </si>
  <si>
    <t>Closed - BEST WESTERN Huntington Beach Inn</t>
  </si>
  <si>
    <t>Jul 1991</t>
  </si>
  <si>
    <t>Closed - Huntington Shores</t>
  </si>
  <si>
    <t>Jun 1997</t>
  </si>
  <si>
    <t>Jan 1963</t>
  </si>
  <si>
    <t>Closed - Sun N Sands Motel</t>
  </si>
  <si>
    <t>Jun 1966</t>
  </si>
  <si>
    <t>Hilton The Waterfront Beach Resort</t>
  </si>
  <si>
    <t>Jul 1990</t>
  </si>
  <si>
    <t>Huntington Beach Inn</t>
  </si>
  <si>
    <t>Sep 2015</t>
  </si>
  <si>
    <t>May 1988</t>
  </si>
  <si>
    <t>Huntington Suites</t>
  </si>
  <si>
    <t>Hyatt Regency Huntington Beach &amp; Spa</t>
  </si>
  <si>
    <t>Kimpton Shorebreak Resort</t>
  </si>
  <si>
    <t>Feb 2015</t>
  </si>
  <si>
    <t>May 2009</t>
  </si>
  <si>
    <t>Pasea Hotel &amp; Spa</t>
  </si>
  <si>
    <t>May 2016</t>
  </si>
  <si>
    <t>Starlight Inn</t>
  </si>
  <si>
    <t>Jan 2017</t>
  </si>
  <si>
    <t>777 Motel</t>
  </si>
  <si>
    <t>92649</t>
  </si>
  <si>
    <t>Apr 1995</t>
  </si>
  <si>
    <t>Beso del Sol - Huntington Beach</t>
  </si>
  <si>
    <t>May 2004</t>
  </si>
  <si>
    <t>Best Western Harbour Inn &amp; Suites Huntington - Sunset Beach</t>
  </si>
  <si>
    <t>Dec 2007</t>
  </si>
  <si>
    <t>Feb 1989</t>
  </si>
  <si>
    <t>Oceansurf Inn &amp; Suites</t>
  </si>
  <si>
    <t>Apr 2005</t>
  </si>
  <si>
    <t>Oceanview Motel</t>
  </si>
  <si>
    <t>Surf City Inn</t>
  </si>
  <si>
    <t>Jun 2007</t>
  </si>
  <si>
    <t>Travelodge by Wyndham Sunset-Huntington Beach Ocean Front</t>
  </si>
  <si>
    <t>Sep 2011</t>
  </si>
  <si>
    <t>Tab 10 - Help</t>
  </si>
  <si>
    <t>Glossary:</t>
  </si>
  <si>
    <t>Frequently Asked Questions (FAQ):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</si>
</sst>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41" x14ac:knownFonts="1">
    <font>
      <sz val="10"/>
      <name val="Arial"/>
    </font>
    <font>
      <sz val="10"/>
      <name val="Arial"/>
    </font>
    <font>
      <sz val="10"/>
      <color indexed="9"/>
      <name val="Arial"/>
      <family val="2"/>
    </font>
    <font>
      <sz val="10"/>
      <name val="Arial"/>
      <family val="2"/>
    </font>
    <font>
      <b/>
      <sz val="12"/>
      <color indexed="62"/>
      <name val="Arial"/>
      <family val="2"/>
    </font>
    <font>
      <sz val="9"/>
      <color indexed="9"/>
      <name val="Arial"/>
      <family val="2"/>
    </font>
    <font>
      <sz val="12"/>
      <name val="Arial"/>
      <family val="2"/>
    </font>
    <font>
      <sz val="12"/>
      <color indexed="62"/>
      <name val="Arial"/>
      <family val="2"/>
    </font>
    <font>
      <sz val="19"/>
      <color indexed="9"/>
      <name val="Arial"/>
      <family val="2"/>
    </font>
    <font>
      <sz val="24"/>
      <color indexed="9"/>
      <name val="Arial"/>
      <family val="2"/>
    </font>
    <font>
      <sz val="10"/>
      <color indexed="62"/>
      <name val="Arial"/>
      <family val="2"/>
    </font>
    <font>
      <sz val="8"/>
      <color indexed="9"/>
      <name val="Arial"/>
      <family val="2"/>
    </font>
    <font>
      <sz val="18"/>
      <name val="Arial"/>
      <family val="2"/>
    </font>
    <font>
      <sz val="14"/>
      <name val="Arial"/>
      <family val="2"/>
    </font>
    <font>
      <sz val="14"/>
      <color indexed="9"/>
      <name val="Arial"/>
      <family val="2"/>
    </font>
    <font>
      <b/>
      <sz val="9"/>
      <name val="Arial"/>
      <family val="2"/>
    </font>
    <font>
      <sz val="9"/>
      <name val="Arial"/>
      <family val="2"/>
    </font>
    <font>
      <b/>
      <sz val="12"/>
      <name val="Arial"/>
      <family val="2"/>
    </font>
    <font>
      <b/>
      <sz val="10"/>
      <name val="Arial"/>
      <family val="2"/>
    </font>
    <font>
      <b/>
      <sz val="10"/>
      <color indexed="10"/>
      <name val="Arial"/>
      <family val="2"/>
    </font>
    <font>
      <sz val="8"/>
      <name val="Arial"/>
      <family val="2"/>
    </font>
    <font>
      <sz val="24"/>
      <name val="Arial"/>
      <family val="2"/>
    </font>
    <font>
      <b/>
      <sz val="14"/>
      <name val="Arial"/>
      <family val="2"/>
    </font>
    <font>
      <sz val="11"/>
      <name val="Arial"/>
      <family val="2"/>
    </font>
    <font>
      <b/>
      <sz val="12"/>
      <color indexed="9"/>
      <name val="Arial"/>
      <family val="2"/>
    </font>
    <font>
      <b/>
      <sz val="12"/>
      <color indexed="8"/>
      <name val="Arial"/>
      <family val="2"/>
    </font>
    <font>
      <b/>
      <sz val="8"/>
      <name val="Arial"/>
      <family val="2"/>
    </font>
    <font>
      <b/>
      <sz val="10"/>
      <color indexed="9"/>
      <name val="Arial"/>
      <family val="2"/>
    </font>
    <font>
      <sz val="11"/>
      <color indexed="8"/>
      <name val="Calibri"/>
      <family val="2"/>
    </font>
    <font>
      <b/>
      <sz val="18"/>
      <color indexed="8"/>
      <name val="Arial"/>
      <family val="2"/>
    </font>
    <font>
      <sz val="18"/>
      <color indexed="8"/>
      <name val="Arial"/>
      <family val="2"/>
    </font>
    <font>
      <sz val="11"/>
      <color indexed="10"/>
      <name val="Calibri"/>
      <family val="2"/>
    </font>
    <font>
      <b/>
      <sz val="11"/>
      <color indexed="8"/>
      <name val="Arial"/>
      <family val="2"/>
    </font>
    <font>
      <sz val="11"/>
      <color indexed="8"/>
      <name val="Arial"/>
      <family val="2"/>
    </font>
    <font>
      <b/>
      <sz val="12"/>
      <name val="Arial"/>
      <family val="2"/>
    </font>
    <font>
      <sz val="26"/>
      <name val="Arial"/>
    </font>
    <font>
      <sz val="10"/>
      <color indexed="8"/>
      <name val="Arial"/>
      <family val="2"/>
    </font>
    <font>
      <sz val="8"/>
      <color indexed="8"/>
      <name val="Arial"/>
    </font>
    <font>
      <sz val="9"/>
      <name val="Arial"/>
    </font>
    <font>
      <b/>
      <sz val="10"/>
      <name val="Arial"/>
    </font>
    <font>
      <sz val="10"/>
      <color indexed="8"/>
      <name val="Arial"/>
    </font>
  </fonts>
  <fills count="6">
    <fill>
      <patternFill patternType="none"/>
    </fill>
    <fill>
      <patternFill patternType="gray125"/>
    </fill>
    <fill>
      <patternFill patternType="solid">
        <fgColor indexed="25"/>
        <bgColor indexed="64"/>
      </patternFill>
    </fill>
    <fill>
      <patternFill patternType="solid">
        <fgColor indexed="9"/>
        <bgColor indexed="64"/>
      </patternFill>
    </fill>
    <fill>
      <patternFill patternType="solid">
        <fgColor indexed="55"/>
        <bgColor indexed="64"/>
      </patternFill>
    </fill>
    <fill>
      <patternFill patternType="solid">
        <fgColor indexed="31"/>
        <bgColor indexed="64"/>
      </patternFill>
    </fill>
  </fills>
  <borders count="24">
    <border>
      <left/>
      <right/>
      <top/>
      <bottom/>
      <diagonal/>
    </border>
    <border>
      <left style="thin">
        <color indexed="55"/>
      </left>
      <right/>
      <top style="thin">
        <color indexed="55"/>
      </top>
      <bottom/>
      <diagonal/>
    </border>
    <border>
      <left/>
      <right/>
      <top style="thin">
        <color indexed="55"/>
      </top>
      <bottom/>
      <diagonal/>
    </border>
    <border>
      <left/>
      <right style="thin">
        <color indexed="55"/>
      </right>
      <top style="thin">
        <color indexed="55"/>
      </top>
      <bottom/>
      <diagonal/>
    </border>
    <border>
      <left style="thin">
        <color indexed="55"/>
      </left>
      <right/>
      <top/>
      <bottom/>
      <diagonal/>
    </border>
    <border>
      <left/>
      <right style="thin">
        <color indexed="55"/>
      </right>
      <top/>
      <bottom/>
      <diagonal/>
    </border>
    <border>
      <left style="thin">
        <color indexed="55"/>
      </left>
      <right/>
      <top/>
      <bottom style="thin">
        <color indexed="55"/>
      </bottom>
      <diagonal/>
    </border>
    <border>
      <left/>
      <right/>
      <top/>
      <bottom style="thin">
        <color indexed="55"/>
      </bottom>
      <diagonal/>
    </border>
    <border>
      <left/>
      <right style="thin">
        <color indexed="55"/>
      </right>
      <top/>
      <bottom style="thin">
        <color indexed="55"/>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right/>
      <top/>
      <bottom style="thin">
        <color indexed="22"/>
      </bottom>
      <diagonal/>
    </border>
    <border>
      <left/>
      <right style="thin">
        <color indexed="22"/>
      </right>
      <top/>
      <bottom style="thin">
        <color indexed="22"/>
      </bottom>
      <diagonal/>
    </border>
    <border>
      <left style="thin">
        <color indexed="22"/>
      </left>
      <right/>
      <top style="thin">
        <color indexed="22"/>
      </top>
      <bottom style="thin">
        <color indexed="22"/>
      </bottom>
      <diagonal/>
    </border>
    <border>
      <left/>
      <right/>
      <top style="thin">
        <color indexed="22"/>
      </top>
      <bottom style="thin">
        <color indexed="22"/>
      </bottom>
      <diagonal/>
    </border>
    <border>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55"/>
      </left>
      <right/>
      <top/>
      <bottom style="thin">
        <color indexed="8"/>
      </bottom>
      <diagonal/>
    </border>
    <border>
      <left/>
      <right/>
      <top/>
      <bottom style="thin">
        <color indexed="8"/>
      </bottom>
      <diagonal/>
    </border>
    <border>
      <left/>
      <right style="thin">
        <color indexed="55"/>
      </right>
      <top/>
      <bottom style="thin">
        <color indexed="8"/>
      </bottom>
      <diagonal/>
    </border>
    <border>
      <left style="thin">
        <color indexed="55"/>
      </left>
      <right style="thin">
        <color indexed="55"/>
      </right>
      <top/>
      <bottom style="thin">
        <color indexed="55"/>
      </bottom>
      <diagonal/>
    </border>
    <border>
      <left style="thin">
        <color indexed="22"/>
      </left>
      <right/>
      <top/>
      <bottom/>
      <diagonal/>
    </border>
  </borders>
  <cellStyleXfs count="1">
    <xf numFmtId="0" fontId="0" fillId="0" borderId="0"/>
  </cellStyleXfs>
  <cellXfs count="220">
    <xf numFmtId="0" fontId="0" fillId="0" borderId="0" xfId="0"/>
    <xf numFmtId="0" fontId="2" fillId="2" borderId="0" xfId="0" applyNumberFormat="1" applyFont="1" applyFill="1" applyProtection="1"/>
    <xf numFmtId="0" fontId="3" fillId="2" borderId="0" xfId="0" applyNumberFormat="1" applyFont="1" applyFill="1" applyProtection="1"/>
    <xf numFmtId="0" fontId="3" fillId="2" borderId="0" xfId="0" applyNumberFormat="1" applyFont="1" applyFill="1" applyAlignment="1" applyProtection="1">
      <alignment horizontal="center"/>
    </xf>
    <xf numFmtId="0" fontId="4" fillId="2" borderId="0" xfId="0" applyNumberFormat="1" applyFont="1" applyFill="1" applyBorder="1" applyAlignment="1" applyProtection="1">
      <alignment horizontal="right"/>
    </xf>
    <xf numFmtId="0" fontId="3" fillId="3" borderId="0" xfId="0" applyNumberFormat="1" applyFont="1" applyFill="1" applyAlignment="1" applyProtection="1"/>
    <xf numFmtId="0" fontId="2" fillId="2" borderId="0" xfId="0" applyNumberFormat="1" applyFont="1" applyFill="1" applyAlignment="1" applyProtection="1">
      <alignment horizontal="left" vertical="top"/>
    </xf>
    <xf numFmtId="0" fontId="5" fillId="2" borderId="0" xfId="0" applyNumberFormat="1" applyFont="1" applyFill="1" applyAlignment="1" applyProtection="1">
      <alignment horizontal="right" vertical="top"/>
    </xf>
    <xf numFmtId="0" fontId="5" fillId="2" borderId="0" xfId="0" applyNumberFormat="1" applyFont="1" applyFill="1" applyAlignment="1" applyProtection="1">
      <alignment horizontal="left" vertical="top"/>
    </xf>
    <xf numFmtId="0" fontId="6" fillId="2" borderId="0" xfId="0" applyNumberFormat="1" applyFont="1" applyFill="1" applyAlignment="1" applyProtection="1">
      <alignment horizontal="right"/>
    </xf>
    <xf numFmtId="0" fontId="7" fillId="2" borderId="0" xfId="0" applyNumberFormat="1" applyFont="1" applyFill="1" applyAlignment="1" applyProtection="1">
      <alignment horizontal="right"/>
    </xf>
    <xf numFmtId="0" fontId="8" fillId="2" borderId="0" xfId="0" applyNumberFormat="1" applyFont="1" applyFill="1" applyAlignment="1" applyProtection="1"/>
    <xf numFmtId="0" fontId="9" fillId="2" borderId="0" xfId="0" applyNumberFormat="1" applyFont="1" applyFill="1" applyAlignment="1" applyProtection="1">
      <alignment horizontal="right"/>
    </xf>
    <xf numFmtId="0" fontId="9" fillId="2" borderId="0" xfId="0" applyNumberFormat="1" applyFont="1" applyFill="1" applyAlignment="1" applyProtection="1"/>
    <xf numFmtId="0" fontId="2" fillId="2" borderId="0" xfId="0" applyNumberFormat="1" applyFont="1" applyFill="1" applyAlignment="1" applyProtection="1">
      <alignment horizontal="right"/>
    </xf>
    <xf numFmtId="0" fontId="5" fillId="2" borderId="0" xfId="0" applyNumberFormat="1" applyFont="1" applyFill="1" applyAlignment="1" applyProtection="1"/>
    <xf numFmtId="0" fontId="5" fillId="2" borderId="0" xfId="0" applyNumberFormat="1" applyFont="1" applyFill="1" applyAlignment="1" applyProtection="1">
      <alignment horizontal="right"/>
    </xf>
    <xf numFmtId="0" fontId="5" fillId="2" borderId="0" xfId="0" applyNumberFormat="1" applyFont="1" applyFill="1" applyAlignment="1" applyProtection="1">
      <alignment horizontal="left" vertical="center"/>
    </xf>
    <xf numFmtId="0" fontId="5" fillId="2" borderId="0" xfId="0" applyNumberFormat="1" applyFont="1" applyFill="1" applyAlignment="1" applyProtection="1">
      <alignment horizontal="center" vertical="center"/>
    </xf>
    <xf numFmtId="0" fontId="5" fillId="2" borderId="0" xfId="0" applyNumberFormat="1" applyFont="1" applyFill="1" applyAlignment="1" applyProtection="1">
      <alignment vertical="top"/>
    </xf>
    <xf numFmtId="0" fontId="10" fillId="2" borderId="0" xfId="0" applyNumberFormat="1" applyFont="1" applyFill="1" applyProtection="1"/>
    <xf numFmtId="0" fontId="5" fillId="2" borderId="0" xfId="0" applyNumberFormat="1" applyFont="1" applyFill="1" applyProtection="1"/>
    <xf numFmtId="0" fontId="5" fillId="2" borderId="0" xfId="0" applyNumberFormat="1" applyFont="1" applyFill="1" applyAlignment="1" applyProtection="1">
      <alignment horizontal="center"/>
    </xf>
    <xf numFmtId="0" fontId="2" fillId="2" borderId="0" xfId="0" applyNumberFormat="1" applyFont="1" applyFill="1" applyAlignment="1" applyProtection="1">
      <alignment horizontal="center"/>
    </xf>
    <xf numFmtId="0" fontId="3" fillId="0" borderId="0" xfId="0" applyNumberFormat="1" applyFont="1" applyAlignment="1" applyProtection="1"/>
    <xf numFmtId="0" fontId="12" fillId="3" borderId="0" xfId="0" applyNumberFormat="1" applyFont="1" applyFill="1" applyBorder="1" applyAlignment="1" applyProtection="1"/>
    <xf numFmtId="0" fontId="12" fillId="3" borderId="0" xfId="0" applyNumberFormat="1" applyFont="1" applyFill="1" applyBorder="1" applyAlignment="1" applyProtection="1">
      <alignment vertical="center"/>
    </xf>
    <xf numFmtId="0" fontId="1" fillId="3" borderId="0" xfId="0" applyNumberFormat="1" applyFont="1" applyFill="1" applyBorder="1" applyAlignment="1" applyProtection="1"/>
    <xf numFmtId="0" fontId="1" fillId="4" borderId="0" xfId="0" applyNumberFormat="1" applyFont="1" applyFill="1" applyBorder="1" applyAlignment="1" applyProtection="1"/>
    <xf numFmtId="0" fontId="13" fillId="3" borderId="0" xfId="0" applyNumberFormat="1" applyFont="1" applyFill="1" applyBorder="1" applyAlignment="1" applyProtection="1">
      <alignment horizontal="center"/>
    </xf>
    <xf numFmtId="0" fontId="15" fillId="3" borderId="0" xfId="0" applyNumberFormat="1" applyFont="1" applyFill="1" applyBorder="1" applyAlignment="1" applyProtection="1">
      <alignment horizontal="center"/>
    </xf>
    <xf numFmtId="0" fontId="16" fillId="3" borderId="0" xfId="0" applyNumberFormat="1" applyFont="1" applyFill="1" applyBorder="1" applyAlignment="1" applyProtection="1">
      <alignment horizontal="center"/>
    </xf>
    <xf numFmtId="0" fontId="17" fillId="3" borderId="0" xfId="0" applyNumberFormat="1" applyFont="1" applyFill="1" applyBorder="1" applyAlignment="1" applyProtection="1">
      <alignment horizontal="center"/>
    </xf>
    <xf numFmtId="0" fontId="16" fillId="4" borderId="0" xfId="0" applyNumberFormat="1" applyFont="1" applyFill="1" applyBorder="1" applyAlignment="1" applyProtection="1">
      <alignment horizontal="center"/>
    </xf>
    <xf numFmtId="0" fontId="16" fillId="0" borderId="0" xfId="0" applyNumberFormat="1" applyFont="1" applyFill="1" applyBorder="1" applyAlignment="1" applyProtection="1">
      <alignment horizontal="center"/>
    </xf>
    <xf numFmtId="0" fontId="1" fillId="3" borderId="0" xfId="0" applyNumberFormat="1" applyFont="1" applyFill="1" applyAlignment="1" applyProtection="1">
      <alignment horizontal="center"/>
    </xf>
    <xf numFmtId="16" fontId="16" fillId="3" borderId="0" xfId="0" applyNumberFormat="1" applyFont="1" applyFill="1" applyBorder="1" applyAlignment="1" applyProtection="1">
      <alignment horizontal="right"/>
    </xf>
    <xf numFmtId="0" fontId="6" fillId="3" borderId="1" xfId="0" applyNumberFormat="1" applyFont="1" applyFill="1" applyBorder="1" applyAlignment="1" applyProtection="1">
      <alignment horizontal="center" vertical="center"/>
    </xf>
    <xf numFmtId="0" fontId="6" fillId="3" borderId="2" xfId="0" applyNumberFormat="1" applyFont="1" applyFill="1" applyBorder="1" applyAlignment="1" applyProtection="1">
      <alignment horizontal="center" vertical="center"/>
    </xf>
    <xf numFmtId="0" fontId="6" fillId="3" borderId="3" xfId="0" applyNumberFormat="1" applyFont="1" applyFill="1" applyBorder="1" applyAlignment="1" applyProtection="1">
      <alignment horizontal="center" vertical="center"/>
    </xf>
    <xf numFmtId="0" fontId="6" fillId="5" borderId="4" xfId="0" applyNumberFormat="1" applyFont="1" applyFill="1" applyBorder="1" applyAlignment="1" applyProtection="1">
      <alignment horizontal="center" vertical="center"/>
    </xf>
    <xf numFmtId="0" fontId="6" fillId="5" borderId="0" xfId="0" applyNumberFormat="1" applyFont="1" applyFill="1" applyAlignment="1" applyProtection="1">
      <alignment horizontal="center" vertical="center"/>
    </xf>
    <xf numFmtId="0" fontId="6" fillId="5" borderId="5" xfId="0" applyNumberFormat="1" applyFont="1" applyFill="1" applyBorder="1" applyAlignment="1" applyProtection="1">
      <alignment horizontal="center" vertical="center"/>
    </xf>
    <xf numFmtId="0" fontId="6" fillId="3" borderId="4" xfId="0" applyNumberFormat="1" applyFont="1" applyFill="1" applyBorder="1" applyAlignment="1" applyProtection="1">
      <alignment horizontal="center" vertical="center"/>
    </xf>
    <xf numFmtId="0" fontId="6" fillId="3" borderId="0" xfId="0" applyNumberFormat="1" applyFont="1" applyFill="1" applyAlignment="1" applyProtection="1">
      <alignment horizontal="center" vertical="center"/>
    </xf>
    <xf numFmtId="0" fontId="6" fillId="3" borderId="5" xfId="0" applyNumberFormat="1" applyFont="1" applyFill="1" applyBorder="1" applyAlignment="1" applyProtection="1">
      <alignment horizontal="center" vertical="center"/>
    </xf>
    <xf numFmtId="0" fontId="6" fillId="0" borderId="4" xfId="0" applyNumberFormat="1" applyFont="1" applyBorder="1" applyAlignment="1" applyProtection="1">
      <alignment horizontal="center" vertical="center"/>
    </xf>
    <xf numFmtId="0" fontId="6" fillId="0" borderId="0" xfId="0" applyNumberFormat="1" applyFont="1" applyAlignment="1" applyProtection="1">
      <alignment horizontal="center" vertical="center"/>
    </xf>
    <xf numFmtId="0" fontId="6" fillId="0" borderId="5" xfId="0" applyNumberFormat="1" applyFont="1" applyBorder="1" applyAlignment="1" applyProtection="1">
      <alignment horizontal="center" vertical="center"/>
    </xf>
    <xf numFmtId="0" fontId="1" fillId="3" borderId="0" xfId="0" applyNumberFormat="1" applyFont="1" applyFill="1" applyBorder="1" applyProtection="1"/>
    <xf numFmtId="0" fontId="16" fillId="3" borderId="0" xfId="0" applyNumberFormat="1" applyFont="1" applyFill="1" applyBorder="1" applyProtection="1"/>
    <xf numFmtId="0" fontId="3" fillId="3" borderId="0" xfId="0" applyNumberFormat="1" applyFont="1" applyFill="1" applyBorder="1" applyAlignment="1" applyProtection="1"/>
    <xf numFmtId="0" fontId="16" fillId="3" borderId="0" xfId="0" applyNumberFormat="1" applyFont="1" applyFill="1" applyBorder="1" applyAlignment="1" applyProtection="1"/>
    <xf numFmtId="0" fontId="3" fillId="3" borderId="0" xfId="0" applyNumberFormat="1" applyFont="1" applyFill="1" applyBorder="1" applyProtection="1"/>
    <xf numFmtId="0" fontId="16" fillId="4" borderId="0" xfId="0" applyNumberFormat="1" applyFont="1" applyFill="1" applyBorder="1" applyAlignment="1" applyProtection="1"/>
    <xf numFmtId="0" fontId="16" fillId="0" borderId="0" xfId="0" applyNumberFormat="1" applyFont="1" applyFill="1" applyBorder="1" applyAlignment="1" applyProtection="1"/>
    <xf numFmtId="49" fontId="16" fillId="3" borderId="0" xfId="0" applyNumberFormat="1" applyFont="1" applyFill="1" applyBorder="1" applyAlignment="1" applyProtection="1">
      <alignment horizontal="left"/>
    </xf>
    <xf numFmtId="49" fontId="3" fillId="3" borderId="0" xfId="0" applyNumberFormat="1" applyFont="1" applyFill="1" applyBorder="1" applyAlignment="1" applyProtection="1">
      <alignment horizontal="left"/>
    </xf>
    <xf numFmtId="0" fontId="1" fillId="0" borderId="0" xfId="0" applyNumberFormat="1" applyFont="1" applyFill="1" applyBorder="1" applyAlignment="1" applyProtection="1">
      <alignment horizontal="right"/>
    </xf>
    <xf numFmtId="0" fontId="1" fillId="3" borderId="0" xfId="0" applyNumberFormat="1" applyFont="1" applyFill="1" applyBorder="1" applyAlignment="1" applyProtection="1">
      <alignment horizontal="left"/>
    </xf>
    <xf numFmtId="0" fontId="18" fillId="3" borderId="0" xfId="0" applyNumberFormat="1" applyFont="1" applyFill="1" applyBorder="1" applyAlignment="1" applyProtection="1">
      <alignment horizontal="right"/>
    </xf>
    <xf numFmtId="0" fontId="19" fillId="3" borderId="0" xfId="0" applyNumberFormat="1" applyFont="1" applyFill="1" applyBorder="1" applyAlignment="1" applyProtection="1">
      <alignment horizontal="left" indent="2"/>
    </xf>
    <xf numFmtId="0" fontId="19" fillId="3" borderId="0" xfId="0" applyNumberFormat="1" applyFont="1" applyFill="1" applyBorder="1" applyAlignment="1" applyProtection="1"/>
    <xf numFmtId="0" fontId="18" fillId="3" borderId="0" xfId="0" applyNumberFormat="1" applyFont="1" applyFill="1" applyBorder="1" applyAlignment="1" applyProtection="1">
      <alignment horizontal="left" indent="2"/>
    </xf>
    <xf numFmtId="0" fontId="21" fillId="0" borderId="0" xfId="0" applyNumberFormat="1" applyFont="1" applyFill="1" applyBorder="1" applyAlignment="1" applyProtection="1">
      <alignment vertical="center"/>
    </xf>
    <xf numFmtId="0" fontId="3" fillId="0" borderId="0" xfId="0" applyNumberFormat="1" applyFont="1" applyFill="1" applyBorder="1" applyAlignment="1" applyProtection="1"/>
    <xf numFmtId="164" fontId="1" fillId="3" borderId="0" xfId="0" applyNumberFormat="1" applyFont="1" applyFill="1" applyBorder="1" applyAlignment="1" applyProtection="1">
      <alignment horizontal="left"/>
    </xf>
    <xf numFmtId="0" fontId="22" fillId="0" borderId="0" xfId="0" applyNumberFormat="1" applyFont="1" applyFill="1" applyBorder="1" applyAlignment="1" applyProtection="1"/>
    <xf numFmtId="0" fontId="22" fillId="3" borderId="0" xfId="0" applyNumberFormat="1" applyFont="1" applyFill="1" applyAlignment="1" applyProtection="1">
      <alignment horizontal="right" vertical="top"/>
    </xf>
    <xf numFmtId="49" fontId="24" fillId="2" borderId="0" xfId="0" applyNumberFormat="1" applyFont="1" applyFill="1" applyBorder="1" applyAlignment="1" applyProtection="1">
      <alignment horizontal="center"/>
    </xf>
    <xf numFmtId="0" fontId="1" fillId="0" borderId="0" xfId="0" applyNumberFormat="1" applyFont="1" applyBorder="1" applyAlignment="1" applyProtection="1"/>
    <xf numFmtId="0" fontId="24" fillId="2" borderId="0" xfId="0" applyNumberFormat="1" applyFont="1" applyFill="1" applyBorder="1" applyAlignment="1" applyProtection="1">
      <alignment horizontal="center"/>
    </xf>
    <xf numFmtId="0" fontId="25" fillId="0" borderId="7" xfId="0" applyNumberFormat="1" applyFont="1" applyBorder="1" applyAlignment="1" applyProtection="1">
      <alignment horizontal="center"/>
    </xf>
    <xf numFmtId="0" fontId="25" fillId="0" borderId="8" xfId="0" applyNumberFormat="1" applyFont="1" applyBorder="1" applyAlignment="1" applyProtection="1">
      <alignment horizontal="center"/>
    </xf>
    <xf numFmtId="0" fontId="22" fillId="0" borderId="0" xfId="0" applyNumberFormat="1" applyFont="1" applyFill="1" applyBorder="1" applyAlignment="1" applyProtection="1">
      <alignment horizontal="right"/>
    </xf>
    <xf numFmtId="0" fontId="18" fillId="0" borderId="9" xfId="0" applyNumberFormat="1" applyFont="1" applyFill="1" applyBorder="1" applyAlignment="1" applyProtection="1">
      <alignment horizontal="center" wrapText="1"/>
    </xf>
    <xf numFmtId="0" fontId="18" fillId="0" borderId="10" xfId="0" applyNumberFormat="1" applyFont="1" applyFill="1" applyBorder="1" applyAlignment="1" applyProtection="1">
      <alignment horizontal="center" wrapText="1"/>
    </xf>
    <xf numFmtId="0" fontId="18" fillId="0" borderId="11" xfId="0" applyNumberFormat="1" applyFont="1" applyFill="1" applyBorder="1" applyAlignment="1" applyProtection="1">
      <alignment horizontal="center" wrapText="1"/>
    </xf>
    <xf numFmtId="0" fontId="20" fillId="0" borderId="0" xfId="0" applyNumberFormat="1" applyFont="1" applyBorder="1" applyAlignment="1" applyProtection="1"/>
    <xf numFmtId="165" fontId="1" fillId="0" borderId="0" xfId="0" applyNumberFormat="1" applyFont="1" applyAlignment="1" applyProtection="1">
      <alignment horizontal="center"/>
    </xf>
    <xf numFmtId="2" fontId="1" fillId="0" borderId="0" xfId="0" applyNumberFormat="1" applyFont="1" applyAlignment="1" applyProtection="1">
      <alignment horizontal="center"/>
    </xf>
    <xf numFmtId="0" fontId="13" fillId="0" borderId="0" xfId="0" applyNumberFormat="1" applyFont="1" applyFill="1" applyBorder="1" applyProtection="1"/>
    <xf numFmtId="0" fontId="1" fillId="0" borderId="0" xfId="0" applyNumberFormat="1" applyFont="1" applyAlignment="1" applyProtection="1">
      <alignment horizontal="center"/>
    </xf>
    <xf numFmtId="165" fontId="1" fillId="0" borderId="0" xfId="0" applyNumberFormat="1" applyFont="1" applyFill="1" applyBorder="1" applyAlignment="1" applyProtection="1">
      <alignment horizontal="center"/>
    </xf>
    <xf numFmtId="2" fontId="1" fillId="0" borderId="0" xfId="0" applyNumberFormat="1" applyFont="1" applyFill="1" applyBorder="1" applyAlignment="1" applyProtection="1">
      <alignment horizontal="center"/>
    </xf>
    <xf numFmtId="0" fontId="1" fillId="0" borderId="0" xfId="0" applyNumberFormat="1" applyFont="1" applyFill="1" applyBorder="1" applyAlignment="1" applyProtection="1">
      <alignment horizontal="center"/>
    </xf>
    <xf numFmtId="0" fontId="1" fillId="3" borderId="0" xfId="0" applyNumberFormat="1" applyFont="1" applyFill="1" applyAlignment="1" applyProtection="1"/>
    <xf numFmtId="165" fontId="24" fillId="2" borderId="0" xfId="0" applyNumberFormat="1" applyFont="1" applyFill="1" applyBorder="1" applyAlignment="1" applyProtection="1">
      <alignment horizontal="center"/>
    </xf>
    <xf numFmtId="165" fontId="25" fillId="0" borderId="7" xfId="0" applyNumberFormat="1" applyFont="1" applyBorder="1" applyAlignment="1" applyProtection="1">
      <alignment horizontal="center"/>
    </xf>
    <xf numFmtId="165" fontId="18" fillId="0" borderId="9" xfId="0" applyNumberFormat="1" applyFont="1" applyFill="1" applyBorder="1" applyAlignment="1" applyProtection="1">
      <alignment horizontal="center" wrapText="1"/>
    </xf>
    <xf numFmtId="165" fontId="18" fillId="0" borderId="10" xfId="0" applyNumberFormat="1" applyFont="1" applyFill="1" applyBorder="1" applyAlignment="1" applyProtection="1">
      <alignment horizontal="center" wrapText="1"/>
    </xf>
    <xf numFmtId="165" fontId="1" fillId="0" borderId="0" xfId="0" applyNumberFormat="1" applyFont="1" applyFill="1" applyBorder="1" applyAlignment="1" applyProtection="1"/>
    <xf numFmtId="2" fontId="1" fillId="0" borderId="0" xfId="0" applyNumberFormat="1" applyFont="1" applyFill="1" applyBorder="1" applyAlignment="1" applyProtection="1"/>
    <xf numFmtId="0" fontId="17" fillId="0" borderId="0" xfId="0" applyNumberFormat="1" applyFont="1" applyFill="1" applyBorder="1" applyAlignment="1" applyProtection="1">
      <alignment horizontal="right"/>
    </xf>
    <xf numFmtId="0" fontId="17" fillId="3" borderId="0" xfId="0" applyNumberFormat="1" applyFont="1" applyFill="1" applyAlignment="1" applyProtection="1">
      <alignment horizontal="right"/>
    </xf>
    <xf numFmtId="3" fontId="1" fillId="0" borderId="0" xfId="0" applyNumberFormat="1" applyFont="1" applyAlignment="1" applyProtection="1">
      <alignment horizontal="center"/>
    </xf>
    <xf numFmtId="3" fontId="1" fillId="0" borderId="0" xfId="0" applyNumberFormat="1" applyFont="1" applyAlignment="1" applyProtection="1"/>
    <xf numFmtId="3" fontId="3" fillId="0" borderId="0" xfId="0" applyNumberFormat="1" applyFont="1" applyAlignment="1" applyProtection="1">
      <alignment horizontal="center"/>
    </xf>
    <xf numFmtId="0" fontId="25" fillId="0" borderId="12" xfId="0" applyNumberFormat="1" applyFont="1" applyBorder="1" applyAlignment="1" applyProtection="1">
      <alignment horizontal="center"/>
    </xf>
    <xf numFmtId="0" fontId="18" fillId="0" borderId="12" xfId="0" applyNumberFormat="1" applyFont="1" applyFill="1" applyBorder="1" applyAlignment="1" applyProtection="1">
      <alignment horizontal="center" wrapText="1"/>
    </xf>
    <xf numFmtId="3" fontId="1" fillId="0" borderId="0" xfId="0" applyNumberFormat="1" applyFont="1" applyFill="1" applyBorder="1" applyAlignment="1" applyProtection="1">
      <alignment horizontal="center"/>
    </xf>
    <xf numFmtId="3" fontId="18" fillId="3" borderId="0" xfId="0" applyNumberFormat="1" applyFont="1" applyFill="1" applyAlignment="1" applyProtection="1">
      <alignment horizontal="center"/>
    </xf>
    <xf numFmtId="3" fontId="3" fillId="0" borderId="0" xfId="0" applyNumberFormat="1" applyFont="1" applyFill="1" applyBorder="1" applyAlignment="1" applyProtection="1">
      <alignment horizontal="center"/>
    </xf>
    <xf numFmtId="0" fontId="17" fillId="3" borderId="0" xfId="0" applyNumberFormat="1" applyFont="1" applyFill="1" applyAlignment="1" applyProtection="1">
      <alignment horizontal="center"/>
    </xf>
    <xf numFmtId="0" fontId="17" fillId="3" borderId="0" xfId="0" applyNumberFormat="1" applyFont="1" applyFill="1" applyAlignment="1" applyProtection="1">
      <alignment horizontal="centerContinuous"/>
    </xf>
    <xf numFmtId="0" fontId="1" fillId="0" borderId="0" xfId="0" applyFont="1" applyFill="1" applyAlignment="1" applyProtection="1"/>
    <xf numFmtId="165" fontId="1" fillId="0" borderId="0" xfId="0" applyNumberFormat="1" applyFont="1" applyFill="1" applyAlignment="1" applyProtection="1"/>
    <xf numFmtId="0" fontId="1" fillId="0" borderId="0" xfId="0" applyNumberFormat="1" applyFont="1" applyFill="1" applyAlignment="1" applyProtection="1"/>
    <xf numFmtId="0" fontId="1" fillId="0" borderId="0" xfId="0" applyNumberFormat="1" applyFont="1" applyFill="1" applyAlignment="1" applyProtection="1">
      <alignment horizontal="right" wrapText="1"/>
    </xf>
    <xf numFmtId="0" fontId="18" fillId="0" borderId="0" xfId="0" applyNumberFormat="1" applyFont="1" applyFill="1" applyAlignment="1" applyProtection="1">
      <alignment horizontal="right"/>
    </xf>
    <xf numFmtId="0" fontId="1" fillId="0" borderId="0" xfId="0" applyNumberFormat="1" applyFont="1" applyFill="1" applyAlignment="1" applyProtection="1">
      <alignment horizontal="right"/>
    </xf>
    <xf numFmtId="0" fontId="1" fillId="0" borderId="0" xfId="0" applyNumberFormat="1" applyFont="1" applyFill="1" applyAlignment="1" applyProtection="1">
      <alignment horizontal="center" wrapText="1"/>
    </xf>
    <xf numFmtId="0" fontId="18" fillId="0" borderId="0" xfId="0" applyNumberFormat="1" applyFont="1" applyFill="1" applyAlignment="1" applyProtection="1">
      <alignment horizontal="right" wrapText="1"/>
    </xf>
    <xf numFmtId="0" fontId="26" fillId="0" borderId="0" xfId="0" applyNumberFormat="1" applyFont="1" applyFill="1" applyAlignment="1" applyProtection="1">
      <alignment horizontal="center"/>
    </xf>
    <xf numFmtId="0" fontId="2" fillId="3" borderId="13" xfId="0" applyNumberFormat="1" applyFont="1" applyFill="1" applyBorder="1" applyAlignment="1" applyProtection="1">
      <alignment horizontal="center"/>
    </xf>
    <xf numFmtId="0" fontId="2" fillId="3" borderId="14" xfId="0" applyNumberFormat="1" applyFont="1" applyFill="1" applyBorder="1" applyAlignment="1" applyProtection="1">
      <alignment horizontal="center"/>
    </xf>
    <xf numFmtId="0" fontId="27" fillId="2" borderId="15" xfId="0" applyNumberFormat="1" applyFont="1" applyFill="1" applyBorder="1" applyAlignment="1" applyProtection="1">
      <alignment textRotation="90"/>
    </xf>
    <xf numFmtId="0" fontId="27" fillId="2" borderId="16" xfId="0" applyNumberFormat="1" applyFont="1" applyFill="1" applyBorder="1" applyAlignment="1" applyProtection="1">
      <alignment textRotation="90"/>
    </xf>
    <xf numFmtId="0" fontId="27" fillId="2" borderId="17" xfId="0" applyNumberFormat="1" applyFont="1" applyFill="1" applyBorder="1" applyAlignment="1" applyProtection="1">
      <alignment textRotation="90"/>
    </xf>
    <xf numFmtId="0" fontId="18" fillId="3" borderId="18" xfId="0" applyNumberFormat="1" applyFont="1" applyFill="1" applyBorder="1" applyAlignment="1" applyProtection="1">
      <alignment horizontal="center" wrapText="1"/>
    </xf>
    <xf numFmtId="0" fontId="18" fillId="3" borderId="18" xfId="0" applyNumberFormat="1" applyFont="1" applyFill="1" applyBorder="1" applyAlignment="1" applyProtection="1">
      <alignment horizontal="center"/>
    </xf>
    <xf numFmtId="0" fontId="20" fillId="3" borderId="18" xfId="0" applyNumberFormat="1" applyFont="1" applyFill="1" applyBorder="1" applyAlignment="1" applyProtection="1">
      <alignment horizontal="center"/>
    </xf>
    <xf numFmtId="0" fontId="28" fillId="0" borderId="0" xfId="0" applyNumberFormat="1" applyFont="1" applyFill="1" applyBorder="1" applyAlignment="1" applyProtection="1"/>
    <xf numFmtId="0" fontId="29" fillId="0" borderId="0" xfId="0" applyNumberFormat="1" applyFont="1" applyFill="1" applyBorder="1" applyAlignment="1" applyProtection="1"/>
    <xf numFmtId="0" fontId="30" fillId="0" borderId="0" xfId="0" applyNumberFormat="1" applyFont="1" applyFill="1" applyBorder="1" applyAlignment="1" applyProtection="1"/>
    <xf numFmtId="0" fontId="31" fillId="0" borderId="0" xfId="0" applyNumberFormat="1" applyFont="1" applyFill="1" applyBorder="1" applyAlignment="1" applyProtection="1">
      <alignment vertical="top"/>
    </xf>
    <xf numFmtId="0" fontId="32" fillId="0" borderId="0" xfId="0" applyNumberFormat="1" applyFont="1" applyFill="1" applyBorder="1" applyAlignment="1" applyProtection="1"/>
    <xf numFmtId="0" fontId="33" fillId="0" borderId="0" xfId="0" applyNumberFormat="1" applyFont="1" applyFill="1" applyBorder="1" applyAlignment="1" applyProtection="1"/>
    <xf numFmtId="0" fontId="33" fillId="0" borderId="0" xfId="0" applyNumberFormat="1" applyFont="1" applyFill="1" applyBorder="1" applyAlignment="1" applyProtection="1">
      <alignment vertical="top" wrapText="1"/>
    </xf>
    <xf numFmtId="0" fontId="28" fillId="0" borderId="0" xfId="0" applyNumberFormat="1" applyFont="1" applyFill="1" applyBorder="1" applyAlignment="1" applyProtection="1">
      <alignment vertical="top" wrapText="1"/>
    </xf>
    <xf numFmtId="0" fontId="34" fillId="5" borderId="4" xfId="0" applyNumberFormat="1" applyFont="1" applyFill="1" applyBorder="1" applyAlignment="1" applyProtection="1">
      <alignment horizontal="center" vertical="center"/>
    </xf>
    <xf numFmtId="0" fontId="34" fillId="5" borderId="0" xfId="0" applyNumberFormat="1" applyFont="1" applyFill="1" applyAlignment="1" applyProtection="1">
      <alignment horizontal="center" vertical="center"/>
    </xf>
    <xf numFmtId="0" fontId="34" fillId="5" borderId="5" xfId="0" applyNumberFormat="1" applyFont="1" applyFill="1" applyBorder="1" applyAlignment="1" applyProtection="1">
      <alignment horizontal="center" vertical="center"/>
    </xf>
    <xf numFmtId="0" fontId="6" fillId="5" borderId="19" xfId="0" applyNumberFormat="1" applyFont="1" applyFill="1" applyBorder="1" applyAlignment="1" applyProtection="1">
      <alignment horizontal="center" vertical="center"/>
    </xf>
    <xf numFmtId="0" fontId="6" fillId="5" borderId="20" xfId="0" applyNumberFormat="1" applyFont="1" applyFill="1" applyBorder="1" applyAlignment="1" applyProtection="1">
      <alignment horizontal="center" vertical="center"/>
    </xf>
    <xf numFmtId="0" fontId="6" fillId="5" borderId="21" xfId="0" applyNumberFormat="1" applyFont="1" applyFill="1" applyBorder="1" applyAlignment="1" applyProtection="1">
      <alignment horizontal="center" vertical="center"/>
    </xf>
    <xf numFmtId="0" fontId="1" fillId="4" borderId="0" xfId="0" applyFont="1" applyFill="1"/>
    <xf numFmtId="0" fontId="1" fillId="0" borderId="1" xfId="0" applyNumberFormat="1" applyFont="1" applyBorder="1" applyAlignment="1" applyProtection="1">
      <alignment horizontal="left"/>
    </xf>
    <xf numFmtId="165" fontId="1" fillId="0" borderId="1" xfId="0" applyNumberFormat="1" applyFont="1" applyBorder="1" applyAlignment="1" applyProtection="1">
      <alignment horizontal="center"/>
    </xf>
    <xf numFmtId="2" fontId="1" fillId="0" borderId="1" xfId="0" applyNumberFormat="1" applyFont="1" applyBorder="1" applyAlignment="1" applyProtection="1">
      <alignment horizontal="center"/>
    </xf>
    <xf numFmtId="0" fontId="1" fillId="0" borderId="4" xfId="0" applyNumberFormat="1" applyFont="1" applyBorder="1" applyAlignment="1" applyProtection="1">
      <alignment horizontal="center"/>
    </xf>
    <xf numFmtId="0" fontId="0" fillId="0" borderId="4" xfId="0" applyBorder="1"/>
    <xf numFmtId="0" fontId="1" fillId="5" borderId="4" xfId="0" applyNumberFormat="1" applyFont="1" applyFill="1" applyBorder="1" applyAlignment="1" applyProtection="1">
      <alignment horizontal="left"/>
    </xf>
    <xf numFmtId="165" fontId="1" fillId="5" borderId="4" xfId="0" applyNumberFormat="1" applyFont="1" applyFill="1" applyBorder="1" applyAlignment="1" applyProtection="1">
      <alignment horizontal="center"/>
    </xf>
    <xf numFmtId="165" fontId="1" fillId="5" borderId="0" xfId="0" applyNumberFormat="1" applyFont="1" applyFill="1" applyAlignment="1" applyProtection="1">
      <alignment horizontal="center"/>
    </xf>
    <xf numFmtId="2" fontId="1" fillId="5" borderId="4" xfId="0" applyNumberFormat="1" applyFont="1" applyFill="1" applyBorder="1" applyAlignment="1" applyProtection="1">
      <alignment horizontal="center"/>
    </xf>
    <xf numFmtId="2" fontId="1" fillId="5" borderId="0" xfId="0" applyNumberFormat="1" applyFont="1" applyFill="1" applyAlignment="1" applyProtection="1">
      <alignment horizontal="center"/>
    </xf>
    <xf numFmtId="0" fontId="1" fillId="0" borderId="4" xfId="0" applyNumberFormat="1" applyFont="1" applyBorder="1" applyAlignment="1" applyProtection="1">
      <alignment horizontal="left"/>
    </xf>
    <xf numFmtId="165" fontId="1" fillId="0" borderId="4" xfId="0" applyNumberFormat="1" applyFont="1" applyBorder="1" applyAlignment="1" applyProtection="1">
      <alignment horizontal="center"/>
    </xf>
    <xf numFmtId="2" fontId="1" fillId="0" borderId="4" xfId="0" applyNumberFormat="1" applyFont="1" applyBorder="1" applyAlignment="1" applyProtection="1">
      <alignment horizontal="center"/>
    </xf>
    <xf numFmtId="165" fontId="1" fillId="0" borderId="2" xfId="0" applyNumberFormat="1" applyFont="1" applyBorder="1" applyAlignment="1" applyProtection="1">
      <alignment horizontal="center"/>
    </xf>
    <xf numFmtId="2" fontId="1" fillId="0" borderId="2" xfId="0" applyNumberFormat="1" applyFont="1" applyBorder="1" applyAlignment="1" applyProtection="1">
      <alignment horizontal="center"/>
    </xf>
    <xf numFmtId="0" fontId="1" fillId="0" borderId="2" xfId="0" applyNumberFormat="1" applyFont="1" applyBorder="1" applyAlignment="1" applyProtection="1">
      <alignment horizontal="left"/>
    </xf>
    <xf numFmtId="0" fontId="12" fillId="0" borderId="0" xfId="0" applyNumberFormat="1" applyFont="1" applyFill="1" applyBorder="1" applyAlignment="1" applyProtection="1">
      <alignment vertical="center"/>
    </xf>
    <xf numFmtId="49" fontId="3" fillId="3" borderId="0" xfId="0" applyNumberFormat="1" applyFont="1" applyFill="1" applyBorder="1" applyAlignment="1" applyProtection="1"/>
    <xf numFmtId="0" fontId="23" fillId="0" borderId="0" xfId="0" applyNumberFormat="1" applyFont="1" applyAlignment="1" applyProtection="1">
      <alignment horizontal="center"/>
    </xf>
    <xf numFmtId="0" fontId="18" fillId="0" borderId="9" xfId="0" applyNumberFormat="1" applyFont="1" applyFill="1" applyBorder="1" applyAlignment="1" applyProtection="1">
      <alignment horizontal="center" vertical="center" wrapText="1"/>
    </xf>
    <xf numFmtId="0" fontId="1" fillId="0" borderId="0" xfId="0" applyNumberFormat="1" applyFont="1" applyAlignment="1" applyProtection="1">
      <alignment horizontal="left"/>
    </xf>
    <xf numFmtId="0" fontId="36" fillId="0" borderId="0" xfId="0" applyNumberFormat="1" applyFont="1" applyAlignment="1" applyProtection="1">
      <alignment horizontal="left"/>
    </xf>
    <xf numFmtId="0" fontId="3" fillId="0" borderId="0" xfId="0" applyNumberFormat="1" applyFont="1" applyFill="1" applyBorder="1" applyAlignment="1" applyProtection="1">
      <alignment horizontal="right"/>
    </xf>
    <xf numFmtId="0" fontId="1" fillId="3" borderId="0" xfId="0" applyFont="1" applyFill="1"/>
    <xf numFmtId="3" fontId="1" fillId="0" borderId="1" xfId="0" applyNumberFormat="1" applyFont="1" applyBorder="1" applyAlignment="1" applyProtection="1">
      <alignment horizontal="center"/>
    </xf>
    <xf numFmtId="3" fontId="1" fillId="0" borderId="4" xfId="0" applyNumberFormat="1" applyFont="1" applyBorder="1" applyAlignment="1" applyProtection="1">
      <alignment horizontal="center"/>
    </xf>
    <xf numFmtId="3" fontId="1" fillId="5" borderId="4" xfId="0" applyNumberFormat="1" applyFont="1" applyFill="1" applyBorder="1" applyAlignment="1" applyProtection="1">
      <alignment horizontal="center"/>
    </xf>
    <xf numFmtId="3" fontId="1" fillId="5" borderId="0" xfId="0" applyNumberFormat="1" applyFont="1" applyFill="1" applyAlignment="1" applyProtection="1">
      <alignment horizontal="center"/>
    </xf>
    <xf numFmtId="3" fontId="1" fillId="0" borderId="2" xfId="0" applyNumberFormat="1" applyFont="1" applyBorder="1" applyAlignment="1" applyProtection="1">
      <alignment horizontal="center"/>
    </xf>
    <xf numFmtId="0" fontId="23" fillId="0" borderId="0" xfId="0" applyNumberFormat="1" applyFont="1" applyProtection="1"/>
    <xf numFmtId="0" fontId="23" fillId="0" borderId="0" xfId="0" applyNumberFormat="1" applyFont="1" applyAlignment="1" applyProtection="1">
      <alignment horizontal="left"/>
    </xf>
    <xf numFmtId="0" fontId="12" fillId="0" borderId="0" xfId="0" applyNumberFormat="1" applyFont="1" applyFill="1" applyBorder="1" applyAlignment="1" applyProtection="1"/>
    <xf numFmtId="0" fontId="0" fillId="5" borderId="4" xfId="0" applyFill="1" applyBorder="1" applyAlignment="1">
      <alignment horizontal="center"/>
    </xf>
    <xf numFmtId="0" fontId="0" fillId="5" borderId="4" xfId="0" applyFill="1" applyBorder="1"/>
    <xf numFmtId="0" fontId="0" fillId="5" borderId="23" xfId="0" applyFill="1" applyBorder="1"/>
    <xf numFmtId="0" fontId="0" fillId="0" borderId="4" xfId="0" applyBorder="1" applyAlignment="1">
      <alignment horizontal="center"/>
    </xf>
    <xf numFmtId="0" fontId="0" fillId="0" borderId="23" xfId="0" applyBorder="1"/>
    <xf numFmtId="0" fontId="0" fillId="0" borderId="2"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 xfId="0" applyBorder="1"/>
    <xf numFmtId="0" fontId="0" fillId="0" borderId="3" xfId="0" applyBorder="1"/>
    <xf numFmtId="0" fontId="38" fillId="0" borderId="7" xfId="0" applyFont="1" applyBorder="1"/>
    <xf numFmtId="0" fontId="0" fillId="0" borderId="5" xfId="0" applyBorder="1"/>
    <xf numFmtId="0" fontId="0" fillId="0" borderId="6" xfId="0" applyBorder="1"/>
    <xf numFmtId="0" fontId="0" fillId="0" borderId="7" xfId="0" applyBorder="1"/>
    <xf numFmtId="0" fontId="0" fillId="0" borderId="8" xfId="0" applyBorder="1"/>
    <xf numFmtId="0" fontId="39" fillId="0" borderId="0" xfId="0" applyFont="1" applyAlignment="1">
      <alignment horizontal="right"/>
    </xf>
    <xf numFmtId="0" fontId="1" fillId="4" borderId="0" xfId="0" applyNumberFormat="1" applyFont="1" applyFill="1" applyAlignment="1" applyProtection="1"/>
    <xf numFmtId="0" fontId="0" fillId="4" borderId="0" xfId="0" applyFill="1"/>
    <xf numFmtId="0" fontId="26" fillId="4" borderId="0" xfId="0" applyNumberFormat="1" applyFont="1" applyFill="1" applyAlignment="1" applyProtection="1">
      <alignment horizontal="center"/>
    </xf>
    <xf numFmtId="0" fontId="40" fillId="0" borderId="0" xfId="0" applyFont="1" applyAlignment="1">
      <alignment horizontal="left"/>
    </xf>
    <xf numFmtId="0" fontId="2" fillId="2" borderId="0" xfId="0" applyNumberFormat="1" applyFont="1" applyFill="1" applyAlignment="1" applyProtection="1">
      <alignment horizontal="left" wrapText="1"/>
    </xf>
    <xf numFmtId="0" fontId="11" fillId="2" borderId="0" xfId="0" applyFont="1" applyFill="1" applyAlignment="1" applyProtection="1">
      <alignment horizontal="left" wrapText="1"/>
    </xf>
    <xf numFmtId="49" fontId="14" fillId="2" borderId="0" xfId="0" applyNumberFormat="1" applyFont="1" applyFill="1" applyBorder="1" applyAlignment="1" applyProtection="1">
      <alignment horizontal="center"/>
    </xf>
    <xf numFmtId="0" fontId="3" fillId="3" borderId="0" xfId="0" applyNumberFormat="1" applyFont="1" applyFill="1" applyAlignment="1" applyProtection="1">
      <alignment horizontal="right"/>
    </xf>
    <xf numFmtId="0" fontId="1" fillId="0" borderId="0" xfId="0" applyNumberFormat="1" applyFont="1" applyFill="1" applyBorder="1" applyAlignment="1" applyProtection="1">
      <alignment horizontal="right"/>
    </xf>
    <xf numFmtId="0" fontId="35" fillId="3" borderId="0" xfId="0" applyNumberFormat="1" applyFont="1" applyFill="1" applyAlignment="1" applyProtection="1">
      <alignment horizontal="center" vertical="center"/>
    </xf>
    <xf numFmtId="0" fontId="1" fillId="3" borderId="0" xfId="0" applyNumberFormat="1" applyFont="1" applyFill="1" applyAlignment="1" applyProtection="1">
      <alignment horizontal="center" vertical="center"/>
    </xf>
    <xf numFmtId="0" fontId="3" fillId="3" borderId="0" xfId="0" applyNumberFormat="1" applyFont="1" applyFill="1" applyBorder="1" applyAlignment="1" applyProtection="1">
      <alignment horizontal="right"/>
    </xf>
    <xf numFmtId="0" fontId="18" fillId="3" borderId="0" xfId="0" applyNumberFormat="1" applyFont="1" applyFill="1" applyBorder="1" applyAlignment="1" applyProtection="1">
      <alignment horizontal="center"/>
    </xf>
    <xf numFmtId="0" fontId="20" fillId="3" borderId="0" xfId="0" applyNumberFormat="1" applyFont="1" applyFill="1" applyBorder="1" applyAlignment="1" applyProtection="1">
      <alignment horizontal="left" vertical="center" wrapText="1"/>
    </xf>
    <xf numFmtId="0" fontId="37" fillId="0" borderId="0" xfId="0" applyFont="1" applyAlignment="1">
      <alignment horizontal="left" vertical="center" wrapText="1"/>
    </xf>
    <xf numFmtId="0" fontId="0" fillId="0" borderId="0" xfId="0"/>
    <xf numFmtId="0" fontId="1" fillId="4" borderId="0" xfId="0" applyNumberFormat="1" applyFont="1" applyFill="1" applyBorder="1" applyAlignment="1" applyProtection="1"/>
    <xf numFmtId="165" fontId="25" fillId="0" borderId="6" xfId="0" applyNumberFormat="1" applyFont="1" applyBorder="1" applyAlignment="1" applyProtection="1">
      <alignment horizontal="center"/>
    </xf>
    <xf numFmtId="165" fontId="25" fillId="0" borderId="7" xfId="0" applyNumberFormat="1" applyFont="1" applyBorder="1" applyAlignment="1" applyProtection="1">
      <alignment horizontal="center"/>
    </xf>
    <xf numFmtId="49" fontId="24" fillId="2" borderId="0" xfId="0" applyNumberFormat="1" applyFont="1" applyFill="1" applyBorder="1" applyAlignment="1" applyProtection="1">
      <alignment horizontal="center"/>
    </xf>
    <xf numFmtId="0" fontId="25" fillId="0" borderId="22" xfId="0" applyNumberFormat="1" applyFont="1" applyBorder="1" applyAlignment="1" applyProtection="1">
      <alignment horizontal="center"/>
    </xf>
    <xf numFmtId="0" fontId="25" fillId="0" borderId="7" xfId="0" applyNumberFormat="1" applyFont="1" applyBorder="1" applyAlignment="1" applyProtection="1">
      <alignment horizontal="center"/>
    </xf>
    <xf numFmtId="0" fontId="25" fillId="0" borderId="6" xfId="0" applyNumberFormat="1" applyFont="1" applyBorder="1" applyAlignment="1" applyProtection="1">
      <alignment horizontal="center"/>
    </xf>
    <xf numFmtId="165" fontId="25" fillId="0" borderId="22" xfId="0" applyNumberFormat="1" applyFont="1" applyBorder="1" applyAlignment="1" applyProtection="1">
      <alignment horizontal="center"/>
    </xf>
    <xf numFmtId="0" fontId="24" fillId="2" borderId="0" xfId="0" applyNumberFormat="1" applyFont="1" applyFill="1" applyBorder="1" applyAlignment="1" applyProtection="1">
      <alignment horizontal="center"/>
    </xf>
    <xf numFmtId="165" fontId="24" fillId="2" borderId="0" xfId="0" applyNumberFormat="1" applyFont="1" applyFill="1" applyBorder="1" applyAlignment="1" applyProtection="1">
      <alignment horizontal="center"/>
    </xf>
    <xf numFmtId="0" fontId="25" fillId="0" borderId="12" xfId="0" applyNumberFormat="1" applyFont="1" applyBorder="1" applyAlignment="1" applyProtection="1">
      <alignment horizontal="center"/>
    </xf>
    <xf numFmtId="0" fontId="25" fillId="0" borderId="10" xfId="0" applyNumberFormat="1" applyFont="1" applyBorder="1" applyAlignment="1" applyProtection="1">
      <alignment horizontal="center"/>
    </xf>
    <xf numFmtId="0" fontId="25" fillId="0" borderId="11" xfId="0" applyNumberFormat="1" applyFont="1" applyBorder="1" applyAlignment="1" applyProtection="1">
      <alignment horizontal="center"/>
    </xf>
    <xf numFmtId="0" fontId="25" fillId="0" borderId="9" xfId="0" applyNumberFormat="1" applyFont="1" applyBorder="1" applyAlignment="1" applyProtection="1">
      <alignment horizontal="center"/>
    </xf>
    <xf numFmtId="0" fontId="0" fillId="4" borderId="0" xfId="0" applyFill="1"/>
    <xf numFmtId="0" fontId="23" fillId="0" borderId="0" xfId="0" applyNumberFormat="1" applyFont="1" applyFill="1" applyBorder="1" applyAlignment="1" applyProtection="1">
      <alignment horizontal="left"/>
    </xf>
    <xf numFmtId="0" fontId="23" fillId="0" borderId="0" xfId="0" applyNumberFormat="1" applyFont="1" applyFill="1" applyBorder="1" applyAlignment="1" applyProtection="1">
      <alignment horizontal="left" vertical="top"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A54F0F"/>
      <rgbColor rgb="0000FFFF"/>
      <rgbColor rgb="00800000"/>
      <rgbColor rgb="00008000"/>
      <rgbColor rgb="00000080"/>
      <rgbColor rgb="00808000"/>
      <rgbColor rgb="00D0006F"/>
      <rgbColor rgb="00008080"/>
      <rgbColor rgb="00C0C0C0"/>
      <rgbColor rgb="00808080"/>
      <rgbColor rgb="009999FF"/>
      <rgbColor rgb="006E6259"/>
      <rgbColor rgb="00620C0B"/>
      <rgbColor rgb="00590001"/>
      <rgbColor rgb="00404549"/>
      <rgbColor rgb="00CD9B7A"/>
      <rgbColor rgb="00990033"/>
      <rgbColor rgb="00EAEAEA"/>
      <rgbColor rgb="00000080"/>
      <rgbColor rgb="00579A32"/>
      <rgbColor rgb="003366FF"/>
      <rgbColor rgb="00CC9900"/>
      <rgbColor rgb="00D22630"/>
      <rgbColor rgb="00A54F0F"/>
      <rgbColor rgb="0000BFB3"/>
      <rgbColor rgb="00666666"/>
      <rgbColor rgb="00009CDE"/>
      <rgbColor rgb="00CCFFFF"/>
      <rgbColor rgb="00CCFFCC"/>
      <rgbColor rgb="00CDE499"/>
      <rgbColor rgb="0099D7F2"/>
      <rgbColor rgb="00666666"/>
      <rgbColor rgb="00CC99FF"/>
      <rgbColor rgb="00F0A8AB"/>
      <rgbColor rgb="003366FF"/>
      <rgbColor rgb="0033CCCC"/>
      <rgbColor rgb="0084BD00"/>
      <rgbColor rgb="00FEDB00"/>
      <rgbColor rgb="00FF9900"/>
      <rgbColor rgb="00FE50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5</xdr:col>
      <xdr:colOff>180975</xdr:colOff>
      <xdr:row>1</xdr:row>
      <xdr:rowOff>0</xdr:rowOff>
    </xdr:from>
    <xdr:to>
      <xdr:col>6</xdr:col>
      <xdr:colOff>857250</xdr:colOff>
      <xdr:row>5</xdr:row>
      <xdr:rowOff>19050</xdr:rowOff>
    </xdr:to>
    <xdr:pic>
      <xdr:nvPicPr>
        <xdr:cNvPr id="1026" name="Picture 2">
          <a:extLst>
            <a:ext uri="{FF2B5EF4-FFF2-40B4-BE49-F238E27FC236}">
              <a16:creationId xmlns:a16="http://schemas.microsoft.com/office/drawing/2014/main" id="{377B9030-969D-9383-37D6-8E587F853C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0" y="581025"/>
          <a:ext cx="1038225"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600075</xdr:colOff>
      <xdr:row>2</xdr:row>
      <xdr:rowOff>9525</xdr:rowOff>
    </xdr:to>
    <xdr:pic>
      <xdr:nvPicPr>
        <xdr:cNvPr id="21506" name="Picture 2">
          <a:extLst>
            <a:ext uri="{FF2B5EF4-FFF2-40B4-BE49-F238E27FC236}">
              <a16:creationId xmlns:a16="http://schemas.microsoft.com/office/drawing/2014/main" id="{2031215F-5307-8559-BAF1-02C1F76E46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258175"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DE63E-266F-4EC5-AAF9-6D57939D7179}">
  <sheetPr>
    <outlinePr summaryBelow="0" summaryRight="0"/>
    <pageSetUpPr autoPageBreaks="0" fitToPage="1"/>
  </sheetPr>
  <dimension ref="A1:AX100"/>
  <sheetViews>
    <sheetView showGridLines="0" tabSelected="1" zoomScaleNormal="100" zoomScaleSheetLayoutView="100" workbookViewId="0"/>
  </sheetViews>
  <sheetFormatPr defaultRowHeight="12.75" x14ac:dyDescent="0.15"/>
  <cols>
    <col min="1" max="1" width="13.484375" customWidth="1"/>
    <col min="2" max="2" width="57.58203125" customWidth="1"/>
    <col min="3" max="3" width="5.390625" customWidth="1"/>
    <col min="4" max="4" width="4.71875" customWidth="1"/>
    <col min="5" max="5" width="57.58203125" customWidth="1"/>
    <col min="6" max="6" width="5.390625" customWidth="1"/>
    <col min="7" max="7" width="15.5078125" customWidth="1"/>
    <col min="8" max="8" width="4.1796875" customWidth="1"/>
    <col min="9" max="13" width="7.14453125" customWidth="1"/>
    <col min="14" max="14" width="1.48046875" customWidth="1"/>
    <col min="15" max="15" width="7.4140625" customWidth="1"/>
    <col min="16" max="50" width="9.16796875" customWidth="1"/>
  </cols>
  <sheetData>
    <row r="1" spans="1:50" ht="45.75" customHeight="1" x14ac:dyDescent="0.15">
      <c r="A1" s="1"/>
      <c r="B1" s="2"/>
      <c r="C1" s="2"/>
      <c r="D1" s="3"/>
      <c r="E1" s="2"/>
      <c r="F1" s="2"/>
      <c r="G1" s="2"/>
      <c r="H1" s="4"/>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row>
    <row r="2" spans="1:50" ht="24.75" customHeight="1" x14ac:dyDescent="0.15">
      <c r="A2" s="2"/>
      <c r="B2" s="6" t="s">
        <v>0</v>
      </c>
      <c r="C2" s="7"/>
      <c r="D2" s="8"/>
      <c r="E2" s="8"/>
      <c r="F2" s="7"/>
      <c r="G2" s="9"/>
      <c r="H2" s="10"/>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row>
    <row r="3" spans="1:50" ht="25.5" customHeight="1" x14ac:dyDescent="0.35">
      <c r="A3" s="2"/>
      <c r="B3" s="11" t="s">
        <v>1</v>
      </c>
      <c r="C3" s="12"/>
      <c r="D3" s="13"/>
      <c r="E3" s="13"/>
      <c r="F3" s="12"/>
      <c r="G3" s="9"/>
      <c r="H3" s="10"/>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row>
    <row r="4" spans="1:50" ht="15" customHeight="1" x14ac:dyDescent="0.15">
      <c r="A4" s="2"/>
      <c r="B4" s="191" t="s">
        <v>2</v>
      </c>
      <c r="C4" s="191"/>
      <c r="D4" s="191"/>
      <c r="E4" s="191"/>
      <c r="F4" s="14"/>
      <c r="G4" s="9"/>
      <c r="H4" s="10"/>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row>
    <row r="5" spans="1:50" ht="15" customHeight="1" x14ac:dyDescent="0.15">
      <c r="A5" s="2"/>
      <c r="B5" s="191"/>
      <c r="C5" s="191"/>
      <c r="D5" s="191"/>
      <c r="E5" s="191"/>
      <c r="F5" s="14"/>
      <c r="G5" s="9"/>
      <c r="H5" s="10"/>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row>
    <row r="6" spans="1:50" ht="15" customHeight="1" x14ac:dyDescent="0.15">
      <c r="A6" s="2"/>
      <c r="B6" s="15"/>
      <c r="C6" s="16"/>
      <c r="D6" s="15"/>
      <c r="E6" s="15"/>
      <c r="F6" s="16"/>
      <c r="G6" s="9"/>
      <c r="H6" s="10"/>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row>
    <row r="7" spans="1:50" ht="15.75" customHeight="1" x14ac:dyDescent="0.15">
      <c r="A7" s="2"/>
      <c r="B7" s="17" t="s">
        <v>3</v>
      </c>
      <c r="C7" s="17"/>
      <c r="D7" s="18">
        <v>1</v>
      </c>
      <c r="E7" s="19"/>
      <c r="F7" s="7"/>
      <c r="G7" s="9"/>
      <c r="H7" s="10"/>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row>
    <row r="8" spans="1:50" ht="15.75" customHeight="1" x14ac:dyDescent="0.15">
      <c r="A8" s="2"/>
      <c r="B8" s="17" t="str">
        <f>HYPERLINK("#'Translation Table - 2025'!A1", "Translation Table - 2025")</f>
        <v>Translation Table - 2025</v>
      </c>
      <c r="C8" s="17"/>
      <c r="D8" s="18" t="str">
        <f>HYPERLINK("#'Translation Table - 2025'!A1", "2")</f>
        <v>2</v>
      </c>
      <c r="E8" s="19"/>
      <c r="F8" s="7"/>
      <c r="G8" s="9"/>
      <c r="H8" s="10"/>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row>
    <row r="9" spans="1:50" ht="15.75" customHeight="1" x14ac:dyDescent="0.15">
      <c r="A9" s="2"/>
      <c r="B9" s="17" t="str">
        <f>HYPERLINK("#'Multi Seg Seg'!A1", "Multi Seg Seg")</f>
        <v>Multi Seg Seg</v>
      </c>
      <c r="C9" s="17"/>
      <c r="D9" s="18" t="str">
        <f>HYPERLINK("#'Multi Seg Seg'!A1", "3")</f>
        <v>3</v>
      </c>
      <c r="E9" s="19"/>
      <c r="F9" s="7"/>
      <c r="G9" s="2"/>
      <c r="H9" s="2"/>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row>
    <row r="10" spans="1:50" ht="15.75" customHeight="1" x14ac:dyDescent="0.15">
      <c r="A10" s="2"/>
      <c r="B10" s="17" t="str">
        <f>HYPERLINK("#'Multi-Seg Seg Raw'!A1", "Multi-Seg Seg Raw")</f>
        <v>Multi-Seg Seg Raw</v>
      </c>
      <c r="C10" s="17"/>
      <c r="D10" s="18" t="str">
        <f>HYPERLINK("#'Multi-Seg Seg Raw'!A1", "4")</f>
        <v>4</v>
      </c>
      <c r="E10" s="19"/>
      <c r="F10" s="7"/>
      <c r="G10" s="2"/>
      <c r="H10" s="2"/>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row>
    <row r="11" spans="1:50" ht="15.75" customHeight="1" x14ac:dyDescent="0.15">
      <c r="A11" s="20"/>
      <c r="B11" s="17" t="str">
        <f>HYPERLINK("#'Response Dana Point, CA+'!A1", "Response Dana Point, CA+")</f>
        <v>Response Dana Point, CA+</v>
      </c>
      <c r="C11" s="17"/>
      <c r="D11" s="18" t="str">
        <f>HYPERLINK("#'Response Dana Point, CA+'!A1", "5")</f>
        <v>5</v>
      </c>
      <c r="E11" s="19"/>
      <c r="F11" s="7"/>
      <c r="G11" s="2"/>
      <c r="H11" s="2"/>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row>
    <row r="12" spans="1:50" ht="15.75" customHeight="1" x14ac:dyDescent="0.15">
      <c r="A12" s="2"/>
      <c r="B12" s="17" t="str">
        <f>HYPERLINK("#'Response Newport Beach, CA+'!A1", "Response Newport Beach, CA+")</f>
        <v>Response Newport Beach, CA+</v>
      </c>
      <c r="C12" s="17"/>
      <c r="D12" s="18" t="str">
        <f>HYPERLINK("#'Response Newport Beach, CA+'!A1", "6")</f>
        <v>6</v>
      </c>
      <c r="E12" s="19"/>
      <c r="F12" s="7"/>
      <c r="G12" s="2"/>
      <c r="H12" s="2"/>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row>
    <row r="13" spans="1:50" ht="15.75" customHeight="1" x14ac:dyDescent="0.15">
      <c r="A13" s="2"/>
      <c r="B13" s="17" t="str">
        <f>HYPERLINK("#'Response La Jolla, CA+'!A1", "Response La Jolla, CA+")</f>
        <v>Response La Jolla, CA+</v>
      </c>
      <c r="C13" s="17"/>
      <c r="D13" s="18" t="str">
        <f>HYPERLINK("#'Response La Jolla, CA+'!A1", "7")</f>
        <v>7</v>
      </c>
      <c r="E13" s="19"/>
      <c r="F13" s="7"/>
      <c r="G13" s="2"/>
      <c r="H13" s="2"/>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row>
    <row r="14" spans="1:50" ht="15.75" customHeight="1" x14ac:dyDescent="0.15">
      <c r="A14" s="2"/>
      <c r="B14" s="17" t="str">
        <f>HYPERLINK("#'Response Santa Barbara, CA+'!A1", "Response Santa Barbara, CA+")</f>
        <v>Response Santa Barbara, CA+</v>
      </c>
      <c r="C14" s="17"/>
      <c r="D14" s="18" t="str">
        <f>HYPERLINK("#'Response Santa Barbara, CA+'!A1", "8")</f>
        <v>8</v>
      </c>
      <c r="E14" s="19"/>
      <c r="F14" s="7"/>
      <c r="G14" s="2"/>
      <c r="H14" s="2"/>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row>
    <row r="15" spans="1:50" ht="15.75" customHeight="1" x14ac:dyDescent="0.15">
      <c r="A15" s="2"/>
      <c r="B15" s="17" t="str">
        <f>HYPERLINK("#'Resp Monterey-Carmel, CA+'!A1", "Resp Monterey-Carmel, CA+")</f>
        <v>Resp Monterey-Carmel, CA+</v>
      </c>
      <c r="C15" s="17"/>
      <c r="D15" s="18" t="str">
        <f>HYPERLINK("#'Resp Monterey-Carmel, CA+'!A1", "9")</f>
        <v>9</v>
      </c>
      <c r="E15" s="19"/>
      <c r="F15" s="7"/>
      <c r="G15" s="2"/>
      <c r="H15" s="2"/>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row>
    <row r="16" spans="1:50" ht="15.75" customHeight="1" x14ac:dyDescent="0.15">
      <c r="A16" s="2"/>
      <c r="B16" s="17" t="str">
        <f>HYPERLINK("#'Response Hunting Beach, CA+'!A1", "Response Hunting Beach, CA+")</f>
        <v>Response Hunting Beach, CA+</v>
      </c>
      <c r="C16" s="17"/>
      <c r="D16" s="18" t="str">
        <f>HYPERLINK("#'Response Hunting Beach, CA+'!A1", "10")</f>
        <v>10</v>
      </c>
      <c r="E16" s="19"/>
      <c r="F16" s="7"/>
      <c r="G16" s="2"/>
      <c r="H16" s="2"/>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row>
    <row r="17" spans="1:50" ht="15.75" customHeight="1" x14ac:dyDescent="0.15">
      <c r="A17" s="2"/>
      <c r="B17" s="17" t="str">
        <f>HYPERLINK("#'Help'!A1", "Help")</f>
        <v>Help</v>
      </c>
      <c r="C17" s="17"/>
      <c r="D17" s="18" t="str">
        <f>HYPERLINK("#'Help'!A1", "11")</f>
        <v>11</v>
      </c>
      <c r="E17" s="19"/>
      <c r="F17" s="7"/>
      <c r="G17" s="2"/>
      <c r="H17" s="2"/>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row>
    <row r="18" spans="1:50" ht="15.75" customHeight="1" x14ac:dyDescent="0.15">
      <c r="A18" s="2"/>
      <c r="B18" s="17"/>
      <c r="C18" s="17"/>
      <c r="D18" s="18"/>
      <c r="E18" s="19"/>
      <c r="F18" s="7"/>
      <c r="G18" s="2"/>
      <c r="H18" s="2"/>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row>
    <row r="19" spans="1:50" ht="15.75" customHeight="1" x14ac:dyDescent="0.15">
      <c r="A19" s="2"/>
      <c r="B19" s="17"/>
      <c r="C19" s="17"/>
      <c r="D19" s="18"/>
      <c r="E19" s="19"/>
      <c r="F19" s="7"/>
      <c r="G19" s="2"/>
      <c r="H19" s="2"/>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row>
    <row r="20" spans="1:50" ht="15.75" customHeight="1" x14ac:dyDescent="0.15">
      <c r="A20" s="2"/>
      <c r="B20" s="17"/>
      <c r="C20" s="17"/>
      <c r="D20" s="18"/>
      <c r="E20" s="19"/>
      <c r="F20" s="7"/>
      <c r="G20" s="2"/>
      <c r="H20" s="2"/>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row>
    <row r="21" spans="1:50" ht="15.75" customHeight="1" x14ac:dyDescent="0.15">
      <c r="A21" s="2"/>
      <c r="B21" s="17"/>
      <c r="C21" s="17"/>
      <c r="D21" s="18"/>
      <c r="E21" s="19"/>
      <c r="F21" s="7"/>
      <c r="G21" s="2"/>
      <c r="H21" s="2"/>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row>
    <row r="22" spans="1:50" ht="15.75" customHeight="1" x14ac:dyDescent="0.15">
      <c r="A22" s="2"/>
      <c r="B22" s="17"/>
      <c r="C22" s="17"/>
      <c r="D22" s="18"/>
      <c r="E22" s="19"/>
      <c r="F22" s="7"/>
      <c r="G22" s="2"/>
      <c r="H22" s="2"/>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row>
    <row r="23" spans="1:50" ht="15.75" customHeight="1" x14ac:dyDescent="0.15">
      <c r="A23" s="2"/>
      <c r="B23" s="17"/>
      <c r="C23" s="17"/>
      <c r="D23" s="18"/>
      <c r="E23" s="19"/>
      <c r="F23" s="7"/>
      <c r="G23" s="2"/>
      <c r="H23" s="2"/>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row>
    <row r="24" spans="1:50" ht="15.75" customHeight="1" x14ac:dyDescent="0.15">
      <c r="A24" s="2"/>
      <c r="B24" s="17"/>
      <c r="C24" s="17"/>
      <c r="D24" s="18"/>
      <c r="E24" s="19"/>
      <c r="F24" s="7"/>
      <c r="G24" s="2"/>
      <c r="H24" s="2"/>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row>
    <row r="25" spans="1:50" ht="15.75" customHeight="1" x14ac:dyDescent="0.15">
      <c r="A25" s="2"/>
      <c r="B25" s="17"/>
      <c r="C25" s="17"/>
      <c r="D25" s="18"/>
      <c r="E25" s="19"/>
      <c r="F25" s="7"/>
      <c r="G25" s="2"/>
      <c r="H25" s="2"/>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row>
    <row r="26" spans="1:50" ht="15.75" customHeight="1" x14ac:dyDescent="0.15">
      <c r="A26" s="2"/>
      <c r="B26" s="17"/>
      <c r="C26" s="17"/>
      <c r="D26" s="18"/>
      <c r="E26" s="19"/>
      <c r="F26" s="7"/>
      <c r="G26" s="2"/>
      <c r="H26" s="2"/>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row>
    <row r="27" spans="1:50" ht="15.75" customHeight="1" x14ac:dyDescent="0.15">
      <c r="A27" s="2"/>
      <c r="B27" s="17"/>
      <c r="C27" s="17"/>
      <c r="D27" s="18"/>
      <c r="E27" s="19"/>
      <c r="F27" s="7"/>
      <c r="G27" s="2"/>
      <c r="H27" s="2"/>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row>
    <row r="28" spans="1:50" ht="15.75" customHeight="1" x14ac:dyDescent="0.15">
      <c r="A28" s="2"/>
      <c r="B28" s="17"/>
      <c r="C28" s="17"/>
      <c r="D28" s="18"/>
      <c r="E28" s="19"/>
      <c r="F28" s="7"/>
      <c r="G28" s="2"/>
      <c r="H28" s="2"/>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row>
    <row r="29" spans="1:50" ht="15.75" customHeight="1" x14ac:dyDescent="0.15">
      <c r="A29" s="2"/>
      <c r="B29" s="17"/>
      <c r="C29" s="17"/>
      <c r="D29" s="18"/>
      <c r="E29" s="19"/>
      <c r="F29" s="7"/>
      <c r="G29" s="2"/>
      <c r="H29" s="2"/>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row>
    <row r="30" spans="1:50" ht="15.75" customHeight="1" x14ac:dyDescent="0.15">
      <c r="A30" s="2"/>
      <c r="B30" s="17"/>
      <c r="C30" s="17"/>
      <c r="D30" s="18"/>
      <c r="E30" s="19"/>
      <c r="F30" s="7"/>
      <c r="G30" s="2"/>
      <c r="H30" s="2"/>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row>
    <row r="31" spans="1:50" ht="10.5" customHeight="1" x14ac:dyDescent="0.15">
      <c r="A31" s="2"/>
      <c r="B31" s="17"/>
      <c r="C31" s="17"/>
      <c r="D31" s="18"/>
      <c r="E31" s="19"/>
      <c r="F31" s="19"/>
      <c r="G31" s="2"/>
      <c r="H31" s="2"/>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row>
    <row r="32" spans="1:50" ht="10.5" customHeight="1" x14ac:dyDescent="0.15">
      <c r="A32" s="2"/>
      <c r="B32" s="21" t="s">
        <v>4</v>
      </c>
      <c r="C32" s="21"/>
      <c r="D32" s="22"/>
      <c r="E32" s="21" t="s">
        <v>5</v>
      </c>
      <c r="F32" s="21"/>
      <c r="G32" s="2"/>
      <c r="H32" s="2"/>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row>
    <row r="33" spans="1:50" ht="10.5" customHeight="1" x14ac:dyDescent="0.15">
      <c r="A33" s="2"/>
      <c r="B33" s="21" t="s">
        <v>6</v>
      </c>
      <c r="C33" s="21"/>
      <c r="D33" s="22"/>
      <c r="E33" s="21" t="s">
        <v>7</v>
      </c>
      <c r="F33" s="21"/>
      <c r="G33" s="2"/>
      <c r="H33" s="2"/>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row>
    <row r="34" spans="1:50" ht="10.5" customHeight="1" x14ac:dyDescent="0.15">
      <c r="A34" s="2"/>
      <c r="B34" s="21" t="s">
        <v>8</v>
      </c>
      <c r="C34" s="21"/>
      <c r="D34" s="22"/>
      <c r="E34" s="21" t="s">
        <v>9</v>
      </c>
      <c r="F34" s="21"/>
      <c r="G34" s="2"/>
      <c r="H34" s="2"/>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row>
    <row r="35" spans="1:50" ht="20.100000000000001" customHeight="1" x14ac:dyDescent="0.15">
      <c r="A35" s="2"/>
      <c r="B35" s="21"/>
      <c r="C35" s="21"/>
      <c r="D35" s="22"/>
      <c r="E35" s="21"/>
      <c r="F35" s="21"/>
      <c r="G35" s="2"/>
      <c r="H35" s="2"/>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row>
    <row r="36" spans="1:50" ht="47.1" customHeight="1" x14ac:dyDescent="0.15">
      <c r="A36" s="2"/>
      <c r="B36" s="192" t="s">
        <v>10</v>
      </c>
      <c r="C36" s="192"/>
      <c r="D36" s="192"/>
      <c r="E36" s="192"/>
      <c r="F36" s="192"/>
      <c r="G36" s="2"/>
      <c r="H36" s="2"/>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row>
    <row r="37" spans="1:50" ht="8.1" customHeight="1" x14ac:dyDescent="0.15">
      <c r="A37" s="2"/>
      <c r="B37" s="1"/>
      <c r="C37" s="2"/>
      <c r="D37" s="23"/>
      <c r="E37" s="2"/>
      <c r="F37" s="2"/>
      <c r="G37" s="2"/>
      <c r="H37" s="2"/>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row>
    <row r="38" spans="1:50" ht="15.75" customHeight="1" x14ac:dyDescent="0.1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row>
    <row r="39" spans="1:50" ht="15.75" customHeight="1" x14ac:dyDescent="0.1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row>
    <row r="40" spans="1:50" ht="15.75" customHeight="1" x14ac:dyDescent="0.1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row>
    <row r="41" spans="1:50" ht="15.75" customHeight="1" x14ac:dyDescent="0.1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row>
    <row r="42" spans="1:50" ht="15.75" customHeight="1" x14ac:dyDescent="0.1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row>
    <row r="43" spans="1:50" ht="15.75" customHeight="1" x14ac:dyDescent="0.1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row>
    <row r="44" spans="1:50" ht="15.75" customHeight="1" x14ac:dyDescent="0.1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row>
    <row r="45" spans="1:50" ht="15.75" customHeight="1" x14ac:dyDescent="0.1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row>
    <row r="46" spans="1:50" ht="15.75" customHeight="1" x14ac:dyDescent="0.1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row>
    <row r="47" spans="1:50" ht="15.75" customHeight="1" x14ac:dyDescent="0.1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row>
    <row r="48" spans="1:50" ht="15.75" customHeight="1" x14ac:dyDescent="0.1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row>
    <row r="49" spans="1:50" ht="15.75" customHeight="1" x14ac:dyDescent="0.1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row>
    <row r="50" spans="1:50" ht="15.75" customHeight="1" x14ac:dyDescent="0.1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row>
    <row r="51" spans="1:50" ht="15.75" customHeight="1" x14ac:dyDescent="0.1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row>
    <row r="52" spans="1:50" ht="15.75" customHeight="1" x14ac:dyDescent="0.1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row>
    <row r="53" spans="1:50" ht="15.75" customHeight="1" x14ac:dyDescent="0.1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row>
    <row r="54" spans="1:50" ht="15.75" customHeight="1" x14ac:dyDescent="0.1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row>
    <row r="55" spans="1:50" ht="15.75" customHeight="1" x14ac:dyDescent="0.1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row>
    <row r="56" spans="1:50" ht="15.75" customHeight="1" x14ac:dyDescent="0.1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row>
    <row r="57" spans="1:50" ht="15.75" customHeight="1" x14ac:dyDescent="0.1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row>
    <row r="58" spans="1:50" ht="15.75" customHeight="1" x14ac:dyDescent="0.1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row>
    <row r="59" spans="1:50" ht="15.75" customHeight="1" x14ac:dyDescent="0.1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row>
    <row r="60" spans="1:50" ht="15.75" customHeight="1" x14ac:dyDescent="0.1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row>
    <row r="61" spans="1:50" ht="15.75" customHeight="1" x14ac:dyDescent="0.1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row>
    <row r="62" spans="1:50" ht="15.75" customHeight="1" x14ac:dyDescent="0.1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row>
    <row r="63" spans="1:50" ht="15.75" customHeight="1" x14ac:dyDescent="0.1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row>
    <row r="64" spans="1:50" ht="15.75" customHeight="1" x14ac:dyDescent="0.1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row>
    <row r="65" spans="1:50" ht="15.75" customHeight="1" x14ac:dyDescent="0.1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row>
    <row r="66" spans="1:50" ht="15.75" customHeight="1" x14ac:dyDescent="0.1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row>
    <row r="67" spans="1:50" ht="15.75" customHeight="1" x14ac:dyDescent="0.1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row>
    <row r="68" spans="1:50" ht="15.75" customHeight="1" x14ac:dyDescent="0.1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row>
    <row r="69" spans="1:50" ht="15.75" customHeight="1" x14ac:dyDescent="0.1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row>
    <row r="70" spans="1:50" ht="15.75" customHeight="1" x14ac:dyDescent="0.1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row>
    <row r="71" spans="1:50" ht="15.75" customHeight="1" x14ac:dyDescent="0.1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row>
    <row r="72" spans="1:50" ht="15.75" customHeight="1" x14ac:dyDescent="0.1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row>
    <row r="73" spans="1:50" ht="15.75" customHeight="1" x14ac:dyDescent="0.1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row>
    <row r="74" spans="1:50" ht="15.75" customHeight="1" x14ac:dyDescent="0.1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row>
    <row r="75" spans="1:50" ht="15.75" customHeight="1" x14ac:dyDescent="0.1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row>
    <row r="76" spans="1:50" x14ac:dyDescent="0.1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row>
    <row r="77" spans="1:50" x14ac:dyDescent="0.1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row>
    <row r="78" spans="1:50" x14ac:dyDescent="0.1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row>
    <row r="79" spans="1:50" x14ac:dyDescent="0.1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row>
    <row r="80" spans="1:50" x14ac:dyDescent="0.1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row>
    <row r="81" spans="1:50" x14ac:dyDescent="0.1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row>
    <row r="82" spans="1:50" x14ac:dyDescent="0.1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row>
    <row r="83" spans="1:50" x14ac:dyDescent="0.1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row>
    <row r="84" spans="1:50" x14ac:dyDescent="0.1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row>
    <row r="85" spans="1:50" x14ac:dyDescent="0.1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row>
    <row r="86" spans="1:50" x14ac:dyDescent="0.15">
      <c r="A86" s="5"/>
      <c r="B86" s="5"/>
      <c r="C86" s="5"/>
      <c r="D86" s="5"/>
      <c r="E86" s="5"/>
      <c r="F86" s="5"/>
      <c r="G86" s="5"/>
      <c r="H86" s="5"/>
      <c r="I86" s="5"/>
      <c r="J86" s="5"/>
      <c r="K86" s="5"/>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row>
    <row r="87" spans="1:50" x14ac:dyDescent="0.15">
      <c r="A87" s="5"/>
      <c r="B87" s="5"/>
      <c r="C87" s="5"/>
      <c r="D87" s="5"/>
      <c r="E87" s="5"/>
      <c r="F87" s="5"/>
      <c r="G87" s="5"/>
      <c r="H87" s="5"/>
      <c r="I87" s="5"/>
      <c r="J87" s="5"/>
      <c r="K87" s="5"/>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row>
    <row r="88" spans="1:50" x14ac:dyDescent="0.15">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row>
    <row r="89" spans="1:50" x14ac:dyDescent="0.15">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row>
    <row r="90" spans="1:50" x14ac:dyDescent="0.15">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row>
    <row r="91" spans="1:50" x14ac:dyDescent="0.15">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row>
    <row r="92" spans="1:50" x14ac:dyDescent="0.15">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row>
    <row r="93" spans="1:50" x14ac:dyDescent="0.15">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row>
    <row r="94" spans="1:50" x14ac:dyDescent="0.15">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row>
    <row r="95" spans="1:50" x14ac:dyDescent="0.1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row>
    <row r="96" spans="1:50" x14ac:dyDescent="0.15">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row>
    <row r="97" spans="1:50" x14ac:dyDescent="0.15">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row>
    <row r="98" spans="1:50" x14ac:dyDescent="0.15">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row>
    <row r="99" spans="1:50" x14ac:dyDescent="0.15">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row>
    <row r="100" spans="1:50" x14ac:dyDescent="0.1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row>
  </sheetData>
  <mergeCells count="3">
    <mergeCell ref="B5:E5"/>
    <mergeCell ref="B4:E4"/>
    <mergeCell ref="B36:F36"/>
  </mergeCells>
  <phoneticPr fontId="0" type="noConversion"/>
  <printOptions horizontalCentered="1" verticalCentered="1" gridLinesSet="0"/>
  <pageMargins left="0.25" right="0.25" top="0.25" bottom="0.25" header="0.5" footer="0.5"/>
  <pageSetup paperSize="0" orientation="landscape" horizontalDpi="0" verticalDpi="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BFA9A-6FCE-4C50-AB96-155A07BC4F82}">
  <sheetPr>
    <outlinePr summaryBelow="0" summaryRight="0"/>
    <pageSetUpPr autoPageBreaks="0" fitToPage="1"/>
  </sheetPr>
  <dimension ref="A1:AX58"/>
  <sheetViews>
    <sheetView showGridLines="0" zoomScaleNormal="100" zoomScaleSheetLayoutView="100" workbookViewId="0"/>
  </sheetViews>
  <sheetFormatPr defaultRowHeight="12.75" x14ac:dyDescent="0.15"/>
  <cols>
    <col min="1" max="1" width="1.75" customWidth="1"/>
    <col min="2" max="3" width="8.76171875" customWidth="1"/>
    <col min="4" max="4" width="5.66015625" customWidth="1"/>
    <col min="5" max="5" width="5.93359375" customWidth="1"/>
    <col min="6" max="6" width="5.390625" customWidth="1"/>
    <col min="7" max="7" width="6.203125" customWidth="1"/>
    <col min="8" max="8" width="5.52734375" customWidth="1"/>
    <col min="9" max="9" width="4.1796875" customWidth="1"/>
    <col min="10" max="10" width="4.8515625" customWidth="1"/>
    <col min="11" max="12" width="4.71875" customWidth="1"/>
    <col min="13" max="13" width="6.7421875" customWidth="1"/>
    <col min="14" max="14" width="4.71875" customWidth="1"/>
    <col min="16" max="16" width="5.66015625" customWidth="1"/>
    <col min="17" max="17" width="5.93359375" customWidth="1"/>
    <col min="18" max="18" width="5.390625" customWidth="1"/>
    <col min="19" max="19" width="6.203125" customWidth="1"/>
    <col min="20" max="20" width="5.52734375" customWidth="1"/>
    <col min="21" max="21" width="4.1796875" customWidth="1"/>
    <col min="22" max="22" width="4.8515625" customWidth="1"/>
    <col min="23" max="23" width="8.76171875" customWidth="1"/>
    <col min="24" max="24" width="4.71875" customWidth="1"/>
  </cols>
  <sheetData>
    <row r="1" spans="1:50" ht="30" customHeight="1" x14ac:dyDescent="0.25">
      <c r="A1" s="25"/>
      <c r="B1" s="26" t="s">
        <v>11</v>
      </c>
      <c r="D1" s="27"/>
      <c r="E1" s="27"/>
      <c r="F1" s="27"/>
      <c r="G1" s="27"/>
      <c r="H1" s="27"/>
      <c r="I1" s="27"/>
      <c r="J1" s="27"/>
      <c r="K1" s="27"/>
      <c r="L1" s="27"/>
      <c r="M1" s="27"/>
      <c r="N1" s="27"/>
      <c r="O1" s="27"/>
      <c r="P1" s="27"/>
      <c r="Q1" s="27"/>
      <c r="R1" s="27"/>
      <c r="S1" s="27"/>
      <c r="T1" s="27"/>
      <c r="U1" s="27"/>
      <c r="V1" s="27"/>
      <c r="W1" s="27"/>
      <c r="X1" s="27"/>
      <c r="Y1" s="28"/>
      <c r="Z1" s="28"/>
      <c r="AA1" s="28"/>
      <c r="AB1" s="28"/>
      <c r="AC1" s="28"/>
      <c r="AD1" s="28"/>
      <c r="AE1" s="28"/>
      <c r="AF1" s="28"/>
      <c r="AG1" s="28"/>
      <c r="AH1" s="28"/>
      <c r="AI1" s="28"/>
      <c r="AJ1" s="28"/>
      <c r="AK1" s="28"/>
      <c r="AL1" s="28"/>
    </row>
    <row r="2" spans="1:50" ht="15" customHeight="1" x14ac:dyDescent="0.15">
      <c r="A2" s="27"/>
      <c r="B2" t="s">
        <v>2</v>
      </c>
      <c r="C2" s="27"/>
      <c r="D2" s="27"/>
      <c r="E2" s="27"/>
      <c r="F2" s="27"/>
      <c r="G2" s="27"/>
      <c r="H2" s="27"/>
      <c r="I2" s="27"/>
      <c r="J2" s="27"/>
      <c r="K2" s="27"/>
      <c r="L2" s="27"/>
      <c r="M2" s="27"/>
      <c r="N2" s="27"/>
      <c r="O2" s="27"/>
      <c r="P2" s="27"/>
      <c r="Q2" s="27"/>
      <c r="R2" s="27"/>
      <c r="S2" s="27"/>
      <c r="T2" s="27"/>
      <c r="U2" s="27"/>
      <c r="V2" s="27"/>
      <c r="W2" s="27"/>
      <c r="X2" s="27"/>
      <c r="Y2" s="28"/>
      <c r="Z2" s="28"/>
      <c r="AA2" s="28"/>
      <c r="AB2" s="28"/>
      <c r="AC2" s="28"/>
      <c r="AD2" s="28"/>
      <c r="AE2" s="28"/>
      <c r="AF2" s="28"/>
      <c r="AG2" s="28"/>
      <c r="AH2" s="28"/>
      <c r="AI2" s="28"/>
      <c r="AJ2" s="28"/>
      <c r="AK2" s="28"/>
      <c r="AL2" s="28"/>
    </row>
    <row r="3" spans="1:50" x14ac:dyDescent="0.15">
      <c r="A3" s="27"/>
      <c r="B3" s="27"/>
      <c r="C3" s="27"/>
      <c r="D3" s="27"/>
      <c r="E3" s="27"/>
      <c r="F3" s="27"/>
      <c r="G3" s="27"/>
      <c r="H3" s="27"/>
      <c r="I3" s="27"/>
      <c r="J3" s="27"/>
      <c r="K3" s="27"/>
      <c r="L3" s="27"/>
      <c r="M3" s="27"/>
      <c r="N3" s="27"/>
      <c r="O3" s="27"/>
      <c r="P3" s="27"/>
      <c r="Q3" s="27"/>
      <c r="R3" s="27"/>
      <c r="S3" s="27"/>
      <c r="T3" s="27"/>
      <c r="U3" s="27"/>
      <c r="V3" s="27"/>
      <c r="W3" s="27"/>
      <c r="X3" s="27"/>
      <c r="Y3" s="28"/>
      <c r="Z3" s="28"/>
      <c r="AA3" s="28"/>
      <c r="AB3" s="28"/>
      <c r="AC3" s="28"/>
      <c r="AD3" s="28"/>
      <c r="AE3" s="28"/>
      <c r="AF3" s="28"/>
      <c r="AG3" s="28"/>
      <c r="AH3" s="28"/>
      <c r="AI3" s="28"/>
      <c r="AJ3" s="28"/>
      <c r="AK3" s="28"/>
      <c r="AL3" s="28"/>
    </row>
    <row r="4" spans="1:50" x14ac:dyDescent="0.15">
      <c r="A4" s="27"/>
      <c r="B4" s="27"/>
      <c r="C4" s="27"/>
      <c r="D4" s="27"/>
      <c r="E4" s="27"/>
      <c r="F4" s="27"/>
      <c r="G4" s="27"/>
      <c r="H4" s="27"/>
      <c r="I4" s="27"/>
      <c r="J4" s="27"/>
      <c r="K4" s="27"/>
      <c r="L4" s="27"/>
      <c r="M4" s="27"/>
      <c r="N4" s="27"/>
      <c r="O4" s="27"/>
      <c r="P4" s="27"/>
      <c r="Q4" s="27"/>
      <c r="R4" s="27"/>
      <c r="S4" s="27"/>
      <c r="T4" s="27"/>
      <c r="U4" s="27"/>
      <c r="V4" s="27"/>
      <c r="W4" s="27"/>
      <c r="X4" s="27"/>
      <c r="Y4" s="28"/>
      <c r="Z4" s="28"/>
      <c r="AA4" s="28"/>
      <c r="AB4" s="28"/>
      <c r="AC4" s="28"/>
      <c r="AD4" s="28"/>
      <c r="AE4" s="28"/>
      <c r="AF4" s="28"/>
      <c r="AG4" s="28"/>
      <c r="AH4" s="28"/>
      <c r="AI4" s="28"/>
      <c r="AJ4" s="28"/>
      <c r="AK4" s="28"/>
      <c r="AL4" s="28"/>
    </row>
    <row r="5" spans="1:50" x14ac:dyDescent="0.15">
      <c r="A5" s="27"/>
      <c r="B5" s="27"/>
      <c r="C5" s="27"/>
      <c r="D5" s="27"/>
      <c r="E5" s="27"/>
      <c r="F5" s="27"/>
      <c r="G5" s="27"/>
      <c r="H5" s="27"/>
      <c r="I5" s="27"/>
      <c r="J5" s="27"/>
      <c r="K5" s="27"/>
      <c r="L5" s="27"/>
      <c r="M5" s="27"/>
      <c r="N5" s="27"/>
      <c r="O5" s="27"/>
      <c r="P5" s="27"/>
      <c r="Q5" s="27"/>
      <c r="R5" s="27"/>
      <c r="S5" s="27"/>
      <c r="T5" s="27"/>
      <c r="U5" s="27"/>
      <c r="V5" s="27"/>
      <c r="W5" s="27"/>
      <c r="X5" s="27"/>
      <c r="Y5" s="28"/>
      <c r="Z5" s="28"/>
      <c r="AA5" s="28"/>
      <c r="AB5" s="28"/>
      <c r="AC5" s="28"/>
      <c r="AD5" s="28"/>
      <c r="AE5" s="28"/>
      <c r="AF5" s="28"/>
      <c r="AG5" s="28"/>
      <c r="AH5" s="28"/>
      <c r="AI5" s="28"/>
      <c r="AJ5" s="28"/>
      <c r="AK5" s="28"/>
      <c r="AL5" s="28"/>
    </row>
    <row r="6" spans="1:50" x14ac:dyDescent="0.15">
      <c r="A6" s="27"/>
      <c r="B6" s="27"/>
      <c r="C6" s="27"/>
      <c r="D6" s="27"/>
      <c r="E6" s="27"/>
      <c r="F6" s="27"/>
      <c r="G6" s="27"/>
      <c r="H6" s="27"/>
      <c r="I6" s="27"/>
      <c r="J6" s="27"/>
      <c r="K6" s="27"/>
      <c r="L6" s="27"/>
      <c r="M6" s="27"/>
      <c r="N6" s="27"/>
      <c r="O6" s="27"/>
      <c r="P6" s="27"/>
      <c r="Q6" s="27"/>
      <c r="R6" s="27"/>
      <c r="S6" s="27"/>
      <c r="T6" s="27"/>
      <c r="U6" s="27"/>
      <c r="V6" s="27"/>
      <c r="W6" s="27"/>
      <c r="X6" s="27"/>
      <c r="Y6" s="28"/>
      <c r="Z6" s="28"/>
      <c r="AA6" s="28"/>
      <c r="AB6" s="28"/>
      <c r="AC6" s="28"/>
      <c r="AD6" s="28"/>
      <c r="AE6" s="28"/>
      <c r="AF6" s="28"/>
      <c r="AG6" s="28"/>
      <c r="AH6" s="28"/>
      <c r="AI6" s="28"/>
      <c r="AJ6" s="28"/>
      <c r="AK6" s="28"/>
      <c r="AL6" s="28"/>
    </row>
    <row r="7" spans="1:50" x14ac:dyDescent="0.15">
      <c r="A7" s="27"/>
      <c r="B7" s="27"/>
      <c r="C7" s="27"/>
      <c r="D7" s="27"/>
      <c r="E7" s="27"/>
      <c r="F7" s="27"/>
      <c r="G7" s="27"/>
      <c r="H7" s="27"/>
      <c r="I7" s="27"/>
      <c r="J7" s="27"/>
      <c r="K7" s="27"/>
      <c r="L7" s="27"/>
      <c r="M7" s="27"/>
      <c r="N7" s="27"/>
      <c r="O7" s="27"/>
      <c r="P7" s="27"/>
      <c r="Q7" s="27"/>
      <c r="R7" s="27"/>
      <c r="S7" s="27"/>
      <c r="T7" s="27"/>
      <c r="U7" s="27"/>
      <c r="V7" s="27"/>
      <c r="W7" s="27"/>
      <c r="X7" s="27"/>
      <c r="Y7" s="28"/>
      <c r="Z7" s="28"/>
      <c r="AA7" s="28"/>
      <c r="AB7" s="28"/>
      <c r="AC7" s="28"/>
      <c r="AD7" s="28"/>
      <c r="AE7" s="28"/>
      <c r="AF7" s="28"/>
      <c r="AG7" s="28"/>
      <c r="AH7" s="28"/>
      <c r="AI7" s="28"/>
      <c r="AJ7" s="28"/>
      <c r="AK7" s="28"/>
      <c r="AL7" s="28"/>
    </row>
    <row r="8" spans="1:50" ht="18" customHeight="1" x14ac:dyDescent="0.2">
      <c r="A8" s="29"/>
      <c r="B8" s="27"/>
      <c r="C8" s="27"/>
      <c r="D8" s="193">
        <v>2026</v>
      </c>
      <c r="E8" s="193"/>
      <c r="F8" s="193"/>
      <c r="G8" s="193"/>
      <c r="H8" s="193"/>
      <c r="I8" s="193"/>
      <c r="J8" s="193"/>
      <c r="K8" s="29"/>
      <c r="L8" s="29"/>
      <c r="M8" s="29"/>
      <c r="N8" s="29"/>
      <c r="O8" s="27"/>
      <c r="P8" s="193">
        <v>2025</v>
      </c>
      <c r="Q8" s="193"/>
      <c r="R8" s="193"/>
      <c r="S8" s="193"/>
      <c r="T8" s="193"/>
      <c r="U8" s="193"/>
      <c r="V8" s="193"/>
      <c r="W8" s="29"/>
      <c r="X8" s="29"/>
      <c r="Y8" s="28"/>
      <c r="Z8" s="28"/>
      <c r="AA8" s="28"/>
      <c r="AB8" s="28"/>
      <c r="AC8" s="28"/>
      <c r="AD8" s="28"/>
      <c r="AE8" s="28"/>
      <c r="AF8" s="28"/>
      <c r="AG8" s="28"/>
      <c r="AH8" s="28"/>
      <c r="AI8" s="28"/>
      <c r="AJ8" s="28"/>
      <c r="AK8" s="28"/>
      <c r="AL8" s="28"/>
    </row>
    <row r="9" spans="1:50" ht="15.75" customHeight="1" x14ac:dyDescent="0.15">
      <c r="A9" s="30"/>
      <c r="B9" s="31"/>
      <c r="C9" s="31"/>
      <c r="D9" s="32" t="s">
        <v>12</v>
      </c>
      <c r="E9" s="32" t="s">
        <v>13</v>
      </c>
      <c r="F9" s="32" t="s">
        <v>14</v>
      </c>
      <c r="G9" s="32" t="s">
        <v>15</v>
      </c>
      <c r="H9" s="32" t="s">
        <v>16</v>
      </c>
      <c r="I9" s="32" t="s">
        <v>17</v>
      </c>
      <c r="J9" s="32" t="s">
        <v>18</v>
      </c>
      <c r="K9" s="30"/>
      <c r="L9" s="30"/>
      <c r="M9" s="31"/>
      <c r="N9" s="31"/>
      <c r="O9" s="31"/>
      <c r="P9" s="32" t="s">
        <v>12</v>
      </c>
      <c r="Q9" s="32" t="s">
        <v>13</v>
      </c>
      <c r="R9" s="32" t="s">
        <v>14</v>
      </c>
      <c r="S9" s="32" t="s">
        <v>15</v>
      </c>
      <c r="T9" s="32" t="s">
        <v>16</v>
      </c>
      <c r="U9" s="32" t="s">
        <v>17</v>
      </c>
      <c r="V9" s="32" t="s">
        <v>18</v>
      </c>
      <c r="W9" s="30"/>
      <c r="X9" s="30"/>
      <c r="Y9" s="33"/>
      <c r="Z9" s="33"/>
      <c r="AA9" s="33"/>
      <c r="AB9" s="33"/>
      <c r="AC9" s="33"/>
      <c r="AD9" s="33"/>
      <c r="AE9" s="33"/>
      <c r="AF9" s="33"/>
      <c r="AG9" s="33"/>
      <c r="AH9" s="33"/>
      <c r="AI9" s="33"/>
      <c r="AJ9" s="33"/>
      <c r="AK9" s="33"/>
      <c r="AL9" s="33"/>
      <c r="AM9" s="34"/>
      <c r="AN9" s="34"/>
      <c r="AO9" s="34"/>
      <c r="AP9" s="34"/>
      <c r="AQ9" s="34"/>
      <c r="AR9" s="34"/>
      <c r="AS9" s="34"/>
      <c r="AT9" s="34"/>
      <c r="AU9" s="34"/>
      <c r="AV9" s="34"/>
      <c r="AW9" s="34"/>
      <c r="AX9" s="34"/>
    </row>
    <row r="10" spans="1:50" ht="20.100000000000001" customHeight="1" x14ac:dyDescent="0.15">
      <c r="A10" s="35"/>
      <c r="B10" s="27"/>
      <c r="C10" s="36" t="s">
        <v>19</v>
      </c>
      <c r="D10" s="37">
        <v>5</v>
      </c>
      <c r="E10" s="38">
        <v>6</v>
      </c>
      <c r="F10" s="38">
        <v>7</v>
      </c>
      <c r="G10" s="38">
        <v>8</v>
      </c>
      <c r="H10" s="38">
        <v>9</v>
      </c>
      <c r="I10" s="38">
        <v>10</v>
      </c>
      <c r="J10" s="39">
        <v>11</v>
      </c>
      <c r="K10" s="35"/>
      <c r="L10" s="35"/>
      <c r="M10" s="196" t="s">
        <v>20</v>
      </c>
      <c r="N10" s="197"/>
      <c r="O10" s="36" t="s">
        <v>19</v>
      </c>
      <c r="P10" s="37">
        <v>6</v>
      </c>
      <c r="Q10" s="38">
        <v>7</v>
      </c>
      <c r="R10" s="38">
        <v>8</v>
      </c>
      <c r="S10" s="38">
        <v>9</v>
      </c>
      <c r="T10" s="38">
        <v>10</v>
      </c>
      <c r="U10" s="38">
        <v>11</v>
      </c>
      <c r="V10" s="39">
        <v>12</v>
      </c>
      <c r="W10" s="35"/>
      <c r="X10" s="35"/>
      <c r="Y10" s="28"/>
      <c r="Z10" s="28"/>
      <c r="AA10" s="28"/>
      <c r="AB10" s="28"/>
      <c r="AC10" s="28"/>
      <c r="AD10" s="28"/>
      <c r="AE10" s="28"/>
      <c r="AF10" s="28"/>
      <c r="AG10" s="28"/>
      <c r="AH10" s="28"/>
      <c r="AI10" s="28"/>
      <c r="AJ10" s="28"/>
      <c r="AK10" s="28"/>
      <c r="AL10" s="28"/>
    </row>
    <row r="11" spans="1:50" ht="20.100000000000001" customHeight="1" x14ac:dyDescent="0.15">
      <c r="A11" s="35"/>
      <c r="B11" s="27"/>
      <c r="C11" s="36" t="s">
        <v>19</v>
      </c>
      <c r="D11" s="40">
        <v>12</v>
      </c>
      <c r="E11" s="41">
        <v>13</v>
      </c>
      <c r="F11" s="41">
        <v>14</v>
      </c>
      <c r="G11" s="41">
        <v>15</v>
      </c>
      <c r="H11" s="41">
        <v>16</v>
      </c>
      <c r="I11" s="41">
        <v>17</v>
      </c>
      <c r="J11" s="42">
        <v>18</v>
      </c>
      <c r="K11" s="35"/>
      <c r="L11" s="35"/>
      <c r="M11" s="196" t="s">
        <v>20</v>
      </c>
      <c r="N11" s="197"/>
      <c r="O11" s="36" t="s">
        <v>19</v>
      </c>
      <c r="P11" s="40">
        <v>13</v>
      </c>
      <c r="Q11" s="41">
        <v>14</v>
      </c>
      <c r="R11" s="41">
        <v>15</v>
      </c>
      <c r="S11" s="41">
        <v>16</v>
      </c>
      <c r="T11" s="41">
        <v>17</v>
      </c>
      <c r="U11" s="41">
        <v>18</v>
      </c>
      <c r="V11" s="42">
        <v>19</v>
      </c>
      <c r="W11" s="35"/>
      <c r="X11" s="35"/>
      <c r="Y11" s="28"/>
      <c r="Z11" s="28"/>
      <c r="AA11" s="28"/>
      <c r="AB11" s="28"/>
      <c r="AC11" s="28"/>
      <c r="AD11" s="28"/>
      <c r="AE11" s="28"/>
      <c r="AF11" s="28"/>
      <c r="AG11" s="28"/>
      <c r="AH11" s="28"/>
      <c r="AI11" s="28"/>
      <c r="AJ11" s="28"/>
      <c r="AK11" s="28"/>
      <c r="AL11" s="28"/>
    </row>
    <row r="12" spans="1:50" ht="20.100000000000001" customHeight="1" x14ac:dyDescent="0.15">
      <c r="A12" s="35"/>
      <c r="B12" s="27"/>
      <c r="C12" s="36" t="s">
        <v>19</v>
      </c>
      <c r="D12" s="43">
        <v>19</v>
      </c>
      <c r="E12" s="44">
        <v>20</v>
      </c>
      <c r="F12" s="44">
        <v>21</v>
      </c>
      <c r="G12" s="44">
        <v>22</v>
      </c>
      <c r="H12" s="44">
        <v>23</v>
      </c>
      <c r="I12" s="44">
        <v>24</v>
      </c>
      <c r="J12" s="45">
        <v>25</v>
      </c>
      <c r="K12" s="35"/>
      <c r="L12" s="35"/>
      <c r="M12" s="196" t="s">
        <v>20</v>
      </c>
      <c r="N12" s="197"/>
      <c r="O12" s="36" t="s">
        <v>19</v>
      </c>
      <c r="P12" s="43">
        <v>20</v>
      </c>
      <c r="Q12" s="44">
        <v>21</v>
      </c>
      <c r="R12" s="44">
        <v>22</v>
      </c>
      <c r="S12" s="44">
        <v>23</v>
      </c>
      <c r="T12" s="44">
        <v>24</v>
      </c>
      <c r="U12" s="44">
        <v>25</v>
      </c>
      <c r="V12" s="45">
        <v>26</v>
      </c>
      <c r="W12" s="35"/>
      <c r="X12" s="35"/>
      <c r="Y12" s="28"/>
      <c r="Z12" s="28"/>
      <c r="AA12" s="28"/>
      <c r="AB12" s="28"/>
      <c r="AC12" s="28"/>
      <c r="AD12" s="28"/>
      <c r="AE12" s="28"/>
      <c r="AF12" s="28"/>
      <c r="AG12" s="28"/>
      <c r="AH12" s="28"/>
      <c r="AI12" s="28"/>
      <c r="AJ12" s="28"/>
      <c r="AK12" s="28"/>
      <c r="AL12" s="28"/>
    </row>
    <row r="13" spans="1:50" ht="20.100000000000001" customHeight="1" x14ac:dyDescent="0.15">
      <c r="A13" s="35"/>
      <c r="B13" s="27"/>
      <c r="C13" s="36" t="s">
        <v>21</v>
      </c>
      <c r="D13" s="130">
        <v>26</v>
      </c>
      <c r="E13" s="131">
        <v>27</v>
      </c>
      <c r="F13" s="131">
        <v>28</v>
      </c>
      <c r="G13" s="131">
        <v>29</v>
      </c>
      <c r="H13" s="131">
        <v>30</v>
      </c>
      <c r="I13" s="131">
        <v>1</v>
      </c>
      <c r="J13" s="132">
        <v>2</v>
      </c>
      <c r="K13" s="35"/>
      <c r="L13" s="35"/>
      <c r="M13" s="196" t="s">
        <v>20</v>
      </c>
      <c r="N13" s="197"/>
      <c r="O13" s="36" t="s">
        <v>21</v>
      </c>
      <c r="P13" s="130">
        <v>27</v>
      </c>
      <c r="Q13" s="131">
        <v>28</v>
      </c>
      <c r="R13" s="131">
        <v>29</v>
      </c>
      <c r="S13" s="131">
        <v>30</v>
      </c>
      <c r="T13" s="131">
        <v>1</v>
      </c>
      <c r="U13" s="131">
        <v>2</v>
      </c>
      <c r="V13" s="132">
        <v>3</v>
      </c>
      <c r="W13" s="35"/>
      <c r="X13" s="35"/>
      <c r="Y13" s="28"/>
      <c r="Z13" s="28"/>
      <c r="AA13" s="28"/>
      <c r="AB13" s="28"/>
      <c r="AC13" s="28"/>
      <c r="AD13" s="28"/>
      <c r="AE13" s="28"/>
      <c r="AF13" s="28"/>
      <c r="AG13" s="28"/>
      <c r="AH13" s="28"/>
      <c r="AI13" s="28"/>
      <c r="AJ13" s="28"/>
      <c r="AK13" s="28"/>
      <c r="AL13" s="28"/>
    </row>
    <row r="14" spans="1:50" ht="20.100000000000001" customHeight="1" x14ac:dyDescent="0.15">
      <c r="A14" s="35"/>
      <c r="B14" s="27"/>
      <c r="C14" s="36" t="s">
        <v>22</v>
      </c>
      <c r="D14" s="46">
        <v>3</v>
      </c>
      <c r="E14" s="47">
        <v>4</v>
      </c>
      <c r="F14" s="47">
        <v>5</v>
      </c>
      <c r="G14" s="47">
        <v>6</v>
      </c>
      <c r="H14" s="47">
        <v>7</v>
      </c>
      <c r="I14" s="47">
        <v>8</v>
      </c>
      <c r="J14" s="48">
        <v>9</v>
      </c>
      <c r="K14" s="35"/>
      <c r="L14" s="35"/>
      <c r="M14" s="196" t="s">
        <v>20</v>
      </c>
      <c r="N14" s="197"/>
      <c r="O14" s="36" t="s">
        <v>22</v>
      </c>
      <c r="P14" s="46">
        <v>4</v>
      </c>
      <c r="Q14" s="47">
        <v>5</v>
      </c>
      <c r="R14" s="47">
        <v>6</v>
      </c>
      <c r="S14" s="47">
        <v>7</v>
      </c>
      <c r="T14" s="47">
        <v>8</v>
      </c>
      <c r="U14" s="47">
        <v>9</v>
      </c>
      <c r="V14" s="48">
        <v>10</v>
      </c>
      <c r="W14" s="35"/>
      <c r="X14" s="35"/>
      <c r="Y14" s="28"/>
      <c r="Z14" s="28"/>
      <c r="AA14" s="28"/>
      <c r="AB14" s="28"/>
      <c r="AC14" s="28"/>
      <c r="AD14" s="28"/>
      <c r="AE14" s="28"/>
      <c r="AF14" s="28"/>
      <c r="AG14" s="28"/>
      <c r="AH14" s="28"/>
      <c r="AI14" s="28"/>
      <c r="AJ14" s="28"/>
      <c r="AK14" s="28"/>
      <c r="AL14" s="28"/>
    </row>
    <row r="15" spans="1:50" ht="20.100000000000001" customHeight="1" x14ac:dyDescent="0.15">
      <c r="A15" s="35"/>
      <c r="B15" s="27"/>
      <c r="C15" s="36" t="s">
        <v>22</v>
      </c>
      <c r="D15" s="133">
        <v>10</v>
      </c>
      <c r="E15" s="134">
        <v>11</v>
      </c>
      <c r="F15" s="134">
        <v>12</v>
      </c>
      <c r="G15" s="134">
        <v>13</v>
      </c>
      <c r="H15" s="134">
        <v>14</v>
      </c>
      <c r="I15" s="134">
        <v>15</v>
      </c>
      <c r="J15" s="135">
        <v>16</v>
      </c>
      <c r="K15" s="35"/>
      <c r="L15" s="35"/>
      <c r="M15" s="196" t="s">
        <v>20</v>
      </c>
      <c r="N15" s="197"/>
      <c r="O15" s="36" t="s">
        <v>22</v>
      </c>
      <c r="P15" s="133">
        <v>11</v>
      </c>
      <c r="Q15" s="134">
        <v>12</v>
      </c>
      <c r="R15" s="134">
        <v>13</v>
      </c>
      <c r="S15" s="134">
        <v>14</v>
      </c>
      <c r="T15" s="134">
        <v>15</v>
      </c>
      <c r="U15" s="134">
        <v>16</v>
      </c>
      <c r="V15" s="135">
        <v>17</v>
      </c>
      <c r="W15" s="35"/>
      <c r="X15" s="35"/>
      <c r="Y15" s="28"/>
      <c r="Z15" s="28"/>
      <c r="AA15" s="28"/>
      <c r="AB15" s="28"/>
      <c r="AC15" s="28"/>
      <c r="AD15" s="28"/>
      <c r="AE15" s="28"/>
      <c r="AF15" s="28"/>
      <c r="AG15" s="28"/>
      <c r="AH15" s="28"/>
      <c r="AI15" s="28"/>
      <c r="AJ15" s="28"/>
      <c r="AK15" s="28"/>
      <c r="AL15" s="28"/>
    </row>
    <row r="16" spans="1:50" x14ac:dyDescent="0.15">
      <c r="A16" s="27"/>
      <c r="B16" s="27"/>
      <c r="C16" s="27"/>
      <c r="D16" s="27"/>
      <c r="E16" s="27"/>
      <c r="F16" s="27"/>
      <c r="G16" s="27"/>
      <c r="H16" s="27"/>
      <c r="I16" s="27"/>
      <c r="J16" s="27"/>
      <c r="K16" s="27"/>
      <c r="L16" s="27"/>
      <c r="M16" s="27"/>
      <c r="N16" s="27"/>
      <c r="O16" s="27"/>
      <c r="P16" s="27"/>
      <c r="Q16" s="27"/>
      <c r="R16" s="27"/>
      <c r="S16" s="27"/>
      <c r="T16" s="27"/>
      <c r="U16" s="27"/>
      <c r="V16" s="27"/>
      <c r="W16" s="27"/>
      <c r="X16" s="27"/>
      <c r="Y16" s="28"/>
      <c r="Z16" s="28"/>
      <c r="AA16" s="28"/>
      <c r="AB16" s="28"/>
      <c r="AC16" s="28"/>
      <c r="AD16" s="28"/>
      <c r="AE16" s="28"/>
      <c r="AF16" s="28"/>
      <c r="AG16" s="28"/>
      <c r="AH16" s="28"/>
      <c r="AI16" s="28"/>
      <c r="AJ16" s="28"/>
      <c r="AK16" s="28"/>
      <c r="AL16" s="28"/>
    </row>
    <row r="17" spans="1:50" x14ac:dyDescent="0.15">
      <c r="A17" s="27"/>
      <c r="B17" s="27"/>
      <c r="C17" s="27"/>
      <c r="D17" s="27"/>
      <c r="E17" s="27"/>
      <c r="F17" s="27"/>
      <c r="G17" s="27"/>
      <c r="H17" s="27"/>
      <c r="I17" s="27"/>
      <c r="J17" s="27"/>
      <c r="K17" s="27"/>
      <c r="L17" s="27"/>
      <c r="M17" s="27"/>
      <c r="N17" s="27"/>
      <c r="O17" s="27"/>
      <c r="P17" s="27"/>
      <c r="Q17" s="27"/>
      <c r="R17" s="27"/>
      <c r="S17" s="27"/>
      <c r="T17" s="27"/>
      <c r="U17" s="27"/>
      <c r="V17" s="27"/>
      <c r="W17" s="27"/>
      <c r="X17" s="27"/>
      <c r="Y17" s="28"/>
      <c r="Z17" s="28"/>
      <c r="AA17" s="28"/>
      <c r="AB17" s="28"/>
      <c r="AC17" s="28"/>
      <c r="AD17" s="28"/>
      <c r="AE17" s="28"/>
      <c r="AF17" s="28"/>
      <c r="AG17" s="28"/>
      <c r="AH17" s="28"/>
      <c r="AI17" s="28"/>
      <c r="AJ17" s="28"/>
      <c r="AK17" s="28"/>
      <c r="AL17" s="28"/>
    </row>
    <row r="18" spans="1:50" x14ac:dyDescent="0.15">
      <c r="A18" s="27"/>
      <c r="B18" s="27"/>
      <c r="C18" s="27"/>
      <c r="D18" s="199" t="s">
        <v>23</v>
      </c>
      <c r="E18" s="199"/>
      <c r="F18" s="199"/>
      <c r="G18" s="199"/>
      <c r="H18" s="199"/>
      <c r="I18" s="199"/>
      <c r="J18" s="199"/>
      <c r="K18" s="27"/>
      <c r="L18" s="27"/>
      <c r="M18" s="27"/>
      <c r="N18" s="27"/>
      <c r="O18" s="27"/>
      <c r="P18" s="199" t="s">
        <v>24</v>
      </c>
      <c r="Q18" s="199"/>
      <c r="R18" s="199"/>
      <c r="S18" s="199"/>
      <c r="T18" s="199"/>
      <c r="U18" s="199"/>
      <c r="V18" s="199"/>
      <c r="W18" s="27"/>
      <c r="X18" s="27"/>
      <c r="Y18" s="28"/>
      <c r="Z18" s="28"/>
      <c r="AA18" s="28"/>
      <c r="AB18" s="28"/>
      <c r="AC18" s="28"/>
      <c r="AD18" s="28"/>
      <c r="AE18" s="28"/>
      <c r="AF18" s="28"/>
      <c r="AG18" s="28"/>
      <c r="AH18" s="28"/>
      <c r="AI18" s="28"/>
      <c r="AJ18" s="28"/>
      <c r="AK18" s="28"/>
      <c r="AL18" s="28"/>
    </row>
    <row r="19" spans="1:50" ht="13.15" customHeight="1" x14ac:dyDescent="0.15">
      <c r="A19" s="27"/>
      <c r="B19" s="27"/>
      <c r="C19" s="198" t="s">
        <v>25</v>
      </c>
      <c r="D19" s="198"/>
      <c r="E19" s="198"/>
      <c r="F19" s="198"/>
      <c r="G19" s="49"/>
      <c r="H19" s="49" t="s">
        <v>26</v>
      </c>
      <c r="I19" s="49"/>
      <c r="J19" s="27"/>
      <c r="K19" s="27"/>
      <c r="L19" s="27"/>
      <c r="M19" s="27"/>
      <c r="N19" s="27"/>
      <c r="O19" s="198" t="s">
        <v>27</v>
      </c>
      <c r="P19" s="198"/>
      <c r="Q19" s="198"/>
      <c r="R19" s="198"/>
      <c r="S19" s="49"/>
      <c r="T19" s="49" t="s">
        <v>28</v>
      </c>
      <c r="U19" s="49"/>
      <c r="V19" s="27"/>
      <c r="W19" s="27"/>
      <c r="X19" s="27"/>
      <c r="Y19" s="28"/>
      <c r="Z19" s="28"/>
      <c r="AA19" s="28"/>
      <c r="AB19" s="28"/>
      <c r="AC19" s="28"/>
      <c r="AD19" s="28"/>
      <c r="AE19" s="28"/>
      <c r="AF19" s="28"/>
      <c r="AG19" s="28"/>
      <c r="AH19" s="28"/>
      <c r="AI19" s="28"/>
      <c r="AJ19" s="28"/>
      <c r="AK19" s="28"/>
      <c r="AL19" s="28"/>
    </row>
    <row r="20" spans="1:50" x14ac:dyDescent="0.15">
      <c r="A20" s="50"/>
      <c r="B20" s="50"/>
      <c r="C20" s="198" t="s">
        <v>29</v>
      </c>
      <c r="D20" s="198"/>
      <c r="E20" s="198"/>
      <c r="F20" s="198"/>
      <c r="G20" s="51"/>
      <c r="H20" s="51" t="s">
        <v>30</v>
      </c>
      <c r="I20" s="51"/>
      <c r="J20" s="51"/>
      <c r="K20" s="52"/>
      <c r="L20" s="52"/>
      <c r="M20" s="52"/>
      <c r="N20" s="52"/>
      <c r="O20" s="198" t="s">
        <v>31</v>
      </c>
      <c r="P20" s="198"/>
      <c r="Q20" s="198"/>
      <c r="R20" s="198"/>
      <c r="S20" s="53"/>
      <c r="T20" s="53" t="s">
        <v>32</v>
      </c>
      <c r="U20" s="53"/>
      <c r="V20" s="53"/>
      <c r="W20" s="53"/>
      <c r="X20" s="53"/>
      <c r="Y20" s="54"/>
      <c r="Z20" s="54"/>
      <c r="AA20" s="54"/>
      <c r="AB20" s="54"/>
      <c r="AC20" s="54"/>
      <c r="AD20" s="54"/>
      <c r="AE20" s="54"/>
      <c r="AF20" s="54"/>
      <c r="AG20" s="54"/>
      <c r="AH20" s="54"/>
      <c r="AI20" s="54"/>
      <c r="AJ20" s="54"/>
      <c r="AK20" s="54"/>
      <c r="AL20" s="54"/>
      <c r="AM20" s="55"/>
      <c r="AN20" s="55"/>
      <c r="AO20" s="55"/>
      <c r="AP20" s="55"/>
      <c r="AQ20" s="55"/>
      <c r="AR20" s="55"/>
      <c r="AS20" s="55"/>
      <c r="AT20" s="55"/>
      <c r="AU20" s="55"/>
      <c r="AV20" s="55"/>
      <c r="AW20" s="55"/>
      <c r="AX20" s="55"/>
    </row>
    <row r="21" spans="1:50" x14ac:dyDescent="0.15">
      <c r="A21" s="56"/>
      <c r="B21" s="56"/>
      <c r="C21" s="198"/>
      <c r="D21" s="198"/>
      <c r="E21" s="198"/>
      <c r="F21" s="198"/>
      <c r="G21" s="51"/>
      <c r="H21" s="51"/>
      <c r="I21" s="51"/>
      <c r="J21" s="51"/>
      <c r="K21" s="52"/>
      <c r="L21" s="52"/>
      <c r="M21" s="52"/>
      <c r="N21" s="52"/>
      <c r="O21" s="198" t="s">
        <v>33</v>
      </c>
      <c r="P21" s="198"/>
      <c r="Q21" s="198"/>
      <c r="R21" s="198"/>
      <c r="S21" s="57"/>
      <c r="T21" s="57" t="s">
        <v>26</v>
      </c>
      <c r="U21" s="57"/>
      <c r="V21" s="57"/>
      <c r="W21" s="57"/>
      <c r="X21" s="57"/>
      <c r="Y21" s="54"/>
      <c r="Z21" s="54"/>
      <c r="AA21" s="54"/>
      <c r="AB21" s="54"/>
      <c r="AC21" s="54"/>
      <c r="AD21" s="54"/>
      <c r="AE21" s="54"/>
      <c r="AF21" s="54"/>
      <c r="AG21" s="54"/>
      <c r="AH21" s="54"/>
      <c r="AI21" s="54"/>
      <c r="AJ21" s="54"/>
      <c r="AK21" s="54"/>
      <c r="AL21" s="54"/>
      <c r="AM21" s="55"/>
      <c r="AN21" s="55"/>
      <c r="AO21" s="55"/>
      <c r="AP21" s="55"/>
      <c r="AQ21" s="55"/>
      <c r="AR21" s="55"/>
      <c r="AS21" s="55"/>
      <c r="AT21" s="55"/>
      <c r="AU21" s="55"/>
      <c r="AV21" s="55"/>
      <c r="AW21" s="55"/>
      <c r="AX21" s="55"/>
    </row>
    <row r="22" spans="1:50" x14ac:dyDescent="0.15">
      <c r="A22" s="50"/>
      <c r="B22" s="50"/>
      <c r="C22" s="198"/>
      <c r="D22" s="198"/>
      <c r="E22" s="198"/>
      <c r="F22" s="198"/>
      <c r="G22" s="51"/>
      <c r="H22" s="51"/>
      <c r="I22" s="51"/>
      <c r="J22" s="51"/>
      <c r="K22" s="52"/>
      <c r="L22" s="52"/>
      <c r="M22" s="52"/>
      <c r="N22" s="52"/>
      <c r="O22" s="198" t="s">
        <v>34</v>
      </c>
      <c r="P22" s="198"/>
      <c r="Q22" s="198"/>
      <c r="R22" s="198"/>
      <c r="S22" s="53"/>
      <c r="T22" s="53" t="s">
        <v>30</v>
      </c>
      <c r="U22" s="53"/>
      <c r="V22" s="53"/>
      <c r="W22" s="53"/>
      <c r="X22" s="53"/>
      <c r="Y22" s="54"/>
      <c r="Z22" s="54"/>
      <c r="AA22" s="54"/>
      <c r="AB22" s="54"/>
      <c r="AC22" s="54"/>
      <c r="AD22" s="54"/>
      <c r="AE22" s="54"/>
      <c r="AF22" s="54"/>
      <c r="AG22" s="54"/>
      <c r="AH22" s="54"/>
      <c r="AI22" s="54"/>
      <c r="AJ22" s="54"/>
      <c r="AK22" s="54"/>
      <c r="AL22" s="54"/>
      <c r="AM22" s="55"/>
      <c r="AN22" s="55"/>
      <c r="AO22" s="55"/>
      <c r="AP22" s="55"/>
      <c r="AQ22" s="55"/>
      <c r="AR22" s="55"/>
      <c r="AS22" s="55"/>
      <c r="AT22" s="55"/>
      <c r="AU22" s="55"/>
      <c r="AV22" s="55"/>
      <c r="AW22" s="55"/>
      <c r="AX22" s="55"/>
    </row>
    <row r="23" spans="1:50" x14ac:dyDescent="0.15">
      <c r="A23" s="50"/>
      <c r="B23" s="52"/>
      <c r="C23" s="194"/>
      <c r="D23" s="194"/>
      <c r="E23" s="194"/>
      <c r="F23" s="194"/>
      <c r="G23" s="51"/>
      <c r="H23" s="51"/>
      <c r="I23" s="51"/>
      <c r="J23" s="52"/>
      <c r="K23" s="52"/>
      <c r="L23" s="52"/>
      <c r="M23" s="52"/>
      <c r="N23" s="52"/>
      <c r="O23" s="194"/>
      <c r="P23" s="194"/>
      <c r="Q23" s="194"/>
      <c r="R23" s="194"/>
      <c r="S23" s="53"/>
      <c r="T23" s="53"/>
      <c r="U23" s="53"/>
      <c r="V23" s="53"/>
      <c r="W23" s="53"/>
      <c r="X23" s="50"/>
      <c r="Y23" s="54"/>
      <c r="Z23" s="54"/>
      <c r="AA23" s="54"/>
      <c r="AB23" s="54"/>
      <c r="AC23" s="54"/>
      <c r="AD23" s="54"/>
      <c r="AE23" s="54"/>
      <c r="AF23" s="54"/>
      <c r="AG23" s="54"/>
      <c r="AH23" s="54"/>
      <c r="AI23" s="54"/>
      <c r="AJ23" s="54"/>
      <c r="AK23" s="54"/>
      <c r="AL23" s="54"/>
      <c r="AM23" s="55"/>
      <c r="AN23" s="55"/>
      <c r="AO23" s="55"/>
      <c r="AP23" s="55"/>
      <c r="AQ23" s="55"/>
      <c r="AR23" s="55"/>
      <c r="AS23" s="55"/>
      <c r="AT23" s="55"/>
      <c r="AU23" s="55"/>
      <c r="AV23" s="55"/>
      <c r="AW23" s="55"/>
      <c r="AX23" s="55"/>
    </row>
    <row r="24" spans="1:50" x14ac:dyDescent="0.15">
      <c r="A24" s="49"/>
      <c r="B24" s="27"/>
      <c r="C24" s="194"/>
      <c r="D24" s="194"/>
      <c r="E24" s="194"/>
      <c r="F24" s="194"/>
      <c r="G24" s="51"/>
      <c r="H24" s="51"/>
      <c r="I24" s="51"/>
      <c r="J24" s="27"/>
      <c r="K24" s="27"/>
      <c r="L24" s="27"/>
      <c r="M24" s="27"/>
      <c r="N24" s="27"/>
      <c r="O24" s="194"/>
      <c r="P24" s="194"/>
      <c r="Q24" s="194"/>
      <c r="R24" s="194"/>
      <c r="S24" s="53"/>
      <c r="T24" s="53"/>
      <c r="U24" s="53"/>
      <c r="V24" s="53"/>
      <c r="W24" s="53"/>
      <c r="X24" s="49"/>
      <c r="Y24" s="28"/>
      <c r="Z24" s="28"/>
      <c r="AA24" s="28"/>
      <c r="AB24" s="28"/>
      <c r="AC24" s="28"/>
      <c r="AD24" s="28"/>
      <c r="AE24" s="28"/>
      <c r="AF24" s="28"/>
      <c r="AG24" s="28"/>
      <c r="AH24" s="28"/>
      <c r="AI24" s="28"/>
      <c r="AJ24" s="28"/>
      <c r="AK24" s="28"/>
      <c r="AL24" s="28"/>
    </row>
    <row r="25" spans="1:50" ht="12.75" customHeight="1" x14ac:dyDescent="0.15">
      <c r="Y25" s="136"/>
      <c r="Z25" s="136"/>
      <c r="AA25" s="136"/>
      <c r="AB25" s="136"/>
      <c r="AC25" s="136"/>
      <c r="AD25" s="136"/>
      <c r="AE25" s="136"/>
      <c r="AF25" s="136"/>
      <c r="AG25" s="136"/>
      <c r="AH25" s="136"/>
      <c r="AI25" s="136"/>
      <c r="AJ25" s="136"/>
      <c r="AK25" s="136"/>
      <c r="AL25" s="136"/>
    </row>
    <row r="26" spans="1:50" x14ac:dyDescent="0.15">
      <c r="A26" s="49"/>
      <c r="B26" s="27"/>
      <c r="C26" s="194"/>
      <c r="D26" s="194"/>
      <c r="E26" s="194"/>
      <c r="F26" s="194"/>
      <c r="G26" s="51"/>
      <c r="H26" s="51"/>
      <c r="I26" s="51"/>
      <c r="J26" s="27"/>
      <c r="K26" s="27"/>
      <c r="L26" s="27"/>
      <c r="M26" s="27"/>
      <c r="N26" s="27"/>
      <c r="O26" s="194"/>
      <c r="P26" s="194"/>
      <c r="Q26" s="194"/>
      <c r="R26" s="194"/>
      <c r="S26" s="53"/>
      <c r="T26" s="53"/>
      <c r="U26" s="53"/>
      <c r="V26" s="53"/>
      <c r="W26" s="53"/>
      <c r="X26" s="49"/>
      <c r="Y26" s="28"/>
      <c r="Z26" s="28"/>
      <c r="AA26" s="28"/>
      <c r="AB26" s="28"/>
      <c r="AC26" s="28"/>
      <c r="AD26" s="28"/>
      <c r="AE26" s="28"/>
      <c r="AF26" s="28"/>
      <c r="AG26" s="28"/>
      <c r="AH26" s="28"/>
      <c r="AI26" s="28"/>
      <c r="AJ26" s="28"/>
      <c r="AK26" s="28"/>
      <c r="AL26" s="28"/>
    </row>
    <row r="27" spans="1:50" x14ac:dyDescent="0.15">
      <c r="A27" s="49"/>
      <c r="B27" s="27"/>
      <c r="C27" s="194"/>
      <c r="D27" s="195"/>
      <c r="E27" s="195"/>
      <c r="F27" s="51"/>
      <c r="G27" s="51"/>
      <c r="H27" s="51"/>
      <c r="I27" s="51"/>
      <c r="J27" s="27"/>
      <c r="K27" s="27"/>
      <c r="L27" s="27"/>
      <c r="M27" s="27"/>
      <c r="N27" s="27"/>
      <c r="O27" s="194"/>
      <c r="P27" s="195"/>
      <c r="Q27" s="195"/>
      <c r="R27" s="53"/>
      <c r="S27" s="53"/>
      <c r="T27" s="53"/>
      <c r="U27" s="53"/>
      <c r="V27" s="53"/>
      <c r="W27" s="53"/>
      <c r="X27" s="49"/>
      <c r="Y27" s="28"/>
      <c r="Z27" s="28"/>
      <c r="AA27" s="28"/>
      <c r="AB27" s="28"/>
      <c r="AC27" s="28"/>
      <c r="AD27" s="28"/>
      <c r="AE27" s="28"/>
      <c r="AF27" s="28"/>
      <c r="AG27" s="28"/>
      <c r="AH27" s="28"/>
      <c r="AI27" s="28"/>
      <c r="AJ27" s="28"/>
      <c r="AK27" s="28"/>
      <c r="AL27" s="28"/>
    </row>
    <row r="28" spans="1:50" x14ac:dyDescent="0.15">
      <c r="A28" s="27"/>
      <c r="B28" s="27"/>
      <c r="C28" s="194"/>
      <c r="D28" s="195"/>
      <c r="E28" s="195"/>
      <c r="F28" s="27"/>
      <c r="G28" s="27"/>
      <c r="H28" s="27"/>
      <c r="I28" s="27"/>
      <c r="J28" s="27"/>
      <c r="K28" s="27"/>
      <c r="L28" s="27"/>
      <c r="M28" s="27"/>
      <c r="N28" s="27"/>
      <c r="O28" s="194"/>
      <c r="P28" s="195"/>
      <c r="Q28" s="195"/>
      <c r="R28" s="27"/>
      <c r="S28" s="27"/>
      <c r="T28" s="27"/>
      <c r="U28" s="27"/>
      <c r="V28" s="27"/>
      <c r="W28" s="27"/>
      <c r="X28" s="27"/>
      <c r="Y28" s="28"/>
      <c r="Z28" s="28"/>
      <c r="AA28" s="28"/>
      <c r="AB28" s="28"/>
      <c r="AC28" s="28"/>
      <c r="AD28" s="28"/>
      <c r="AE28" s="28"/>
      <c r="AF28" s="28"/>
      <c r="AG28" s="28"/>
      <c r="AH28" s="28"/>
      <c r="AI28" s="28"/>
      <c r="AJ28" s="28"/>
      <c r="AK28" s="28"/>
      <c r="AL28" s="28"/>
    </row>
    <row r="29" spans="1:50" x14ac:dyDescent="0.15">
      <c r="A29" s="27"/>
      <c r="B29" s="27"/>
      <c r="C29" s="194"/>
      <c r="D29" s="195"/>
      <c r="E29" s="195"/>
      <c r="F29" s="27"/>
      <c r="G29" s="27"/>
      <c r="H29" s="27"/>
      <c r="I29" s="27"/>
      <c r="J29" s="27"/>
      <c r="K29" s="27"/>
      <c r="L29" s="27"/>
      <c r="M29" s="27"/>
      <c r="N29" s="27"/>
      <c r="O29" s="194"/>
      <c r="P29" s="195"/>
      <c r="Q29" s="195"/>
      <c r="R29" s="27"/>
      <c r="T29" s="27"/>
      <c r="U29" s="27"/>
      <c r="V29" s="27"/>
      <c r="W29" s="27"/>
      <c r="X29" s="27"/>
      <c r="Y29" s="28"/>
      <c r="Z29" s="28"/>
      <c r="AA29" s="28"/>
      <c r="AB29" s="28"/>
      <c r="AC29" s="28"/>
      <c r="AD29" s="28"/>
      <c r="AE29" s="28"/>
      <c r="AF29" s="28"/>
      <c r="AG29" s="28"/>
      <c r="AH29" s="28"/>
      <c r="AI29" s="28"/>
      <c r="AJ29" s="28"/>
      <c r="AK29" s="28"/>
      <c r="AL29" s="28"/>
    </row>
    <row r="30" spans="1:50" x14ac:dyDescent="0.15">
      <c r="A30" s="27"/>
      <c r="B30" s="27"/>
      <c r="C30" s="59"/>
      <c r="D30" s="27"/>
      <c r="E30" s="27"/>
      <c r="F30" s="27"/>
      <c r="G30" s="60" t="s">
        <v>35</v>
      </c>
      <c r="H30" s="27">
        <v>30</v>
      </c>
      <c r="I30" s="27"/>
      <c r="J30" s="27"/>
      <c r="K30" s="27"/>
      <c r="L30" s="27"/>
      <c r="M30" s="27"/>
      <c r="N30" s="27"/>
      <c r="O30" s="59"/>
      <c r="P30" s="27"/>
      <c r="Q30" s="27"/>
      <c r="R30" s="27"/>
      <c r="S30" s="60" t="s">
        <v>35</v>
      </c>
      <c r="T30" s="27">
        <v>30</v>
      </c>
      <c r="U30" s="27"/>
      <c r="V30" s="27"/>
      <c r="W30" s="27"/>
      <c r="X30" s="27"/>
      <c r="Y30" s="28"/>
      <c r="Z30" s="28"/>
      <c r="AA30" s="28"/>
      <c r="AB30" s="28"/>
      <c r="AC30" s="28"/>
      <c r="AD30" s="28"/>
      <c r="AE30" s="28"/>
      <c r="AF30" s="28"/>
      <c r="AG30" s="28"/>
      <c r="AH30" s="28"/>
      <c r="AI30" s="28"/>
      <c r="AJ30" s="28"/>
      <c r="AK30" s="28"/>
      <c r="AL30" s="28"/>
    </row>
    <row r="31" spans="1:50" x14ac:dyDescent="0.15">
      <c r="A31" s="27"/>
      <c r="B31" s="27"/>
      <c r="C31" s="59"/>
      <c r="D31" s="27"/>
      <c r="E31" s="27"/>
      <c r="F31" s="27"/>
      <c r="G31" s="60" t="s">
        <v>36</v>
      </c>
      <c r="H31" s="27">
        <v>12</v>
      </c>
      <c r="I31" s="27"/>
      <c r="J31" s="27"/>
      <c r="K31" s="27"/>
      <c r="L31" s="27"/>
      <c r="M31" s="27"/>
      <c r="N31" s="27"/>
      <c r="O31" s="59"/>
      <c r="P31" s="27"/>
      <c r="Q31" s="27"/>
      <c r="R31" s="27"/>
      <c r="S31" s="60" t="s">
        <v>36</v>
      </c>
      <c r="T31" s="27">
        <v>12</v>
      </c>
      <c r="U31" s="27"/>
      <c r="V31" s="27"/>
      <c r="W31" s="27"/>
      <c r="X31" s="27"/>
      <c r="Y31" s="28"/>
      <c r="Z31" s="28"/>
      <c r="AA31" s="28"/>
      <c r="AB31" s="28"/>
      <c r="AC31" s="28"/>
      <c r="AD31" s="28"/>
      <c r="AE31" s="28"/>
      <c r="AF31" s="28"/>
      <c r="AG31" s="28"/>
      <c r="AH31" s="28"/>
      <c r="AI31" s="28"/>
      <c r="AJ31" s="28"/>
      <c r="AK31" s="28"/>
      <c r="AL31" s="28"/>
    </row>
    <row r="32" spans="1:50" x14ac:dyDescent="0.15">
      <c r="A32" s="27"/>
      <c r="B32" s="27"/>
      <c r="C32" s="59"/>
      <c r="D32" s="27"/>
      <c r="E32" s="27"/>
      <c r="F32" s="27"/>
      <c r="G32" s="27"/>
      <c r="H32" s="27"/>
      <c r="I32" s="27"/>
      <c r="J32" s="27"/>
      <c r="K32" s="27"/>
      <c r="L32" s="27"/>
      <c r="M32" s="27"/>
      <c r="N32" s="27"/>
      <c r="O32" s="59"/>
      <c r="P32" s="27"/>
      <c r="Q32" s="27"/>
      <c r="R32" s="27"/>
      <c r="S32" s="27"/>
      <c r="T32" s="27"/>
      <c r="U32" s="27"/>
      <c r="V32" s="27"/>
      <c r="W32" s="27"/>
      <c r="X32" s="27"/>
      <c r="Y32" s="28"/>
      <c r="Z32" s="28"/>
      <c r="AA32" s="28"/>
      <c r="AB32" s="28"/>
      <c r="AC32" s="28"/>
      <c r="AD32" s="28"/>
      <c r="AE32" s="28"/>
      <c r="AF32" s="28"/>
      <c r="AG32" s="28"/>
      <c r="AH32" s="28"/>
      <c r="AI32" s="28"/>
      <c r="AJ32" s="28"/>
      <c r="AK32" s="28"/>
      <c r="AL32" s="28"/>
    </row>
    <row r="33" spans="1:38" x14ac:dyDescent="0.15">
      <c r="A33" s="27"/>
      <c r="B33" s="27"/>
      <c r="C33" s="59"/>
      <c r="D33" s="27"/>
      <c r="E33" s="27"/>
      <c r="F33" s="27"/>
      <c r="G33" s="27"/>
      <c r="H33" s="27"/>
      <c r="I33" s="27"/>
      <c r="J33" s="27"/>
      <c r="K33" s="27"/>
      <c r="L33" s="27"/>
      <c r="M33" s="27"/>
      <c r="N33" s="27"/>
      <c r="O33" s="59"/>
      <c r="P33" s="27"/>
      <c r="Q33" s="27"/>
      <c r="R33" s="27"/>
      <c r="S33" s="27"/>
      <c r="T33" s="27"/>
      <c r="U33" s="27"/>
      <c r="V33" s="27"/>
      <c r="W33" s="27"/>
      <c r="X33" s="27"/>
      <c r="Y33" s="28"/>
      <c r="Z33" s="28"/>
      <c r="AA33" s="28"/>
      <c r="AB33" s="28"/>
      <c r="AC33" s="28"/>
      <c r="AD33" s="28"/>
      <c r="AE33" s="28"/>
      <c r="AF33" s="28"/>
      <c r="AG33" s="28"/>
      <c r="AH33" s="28"/>
      <c r="AI33" s="28"/>
      <c r="AJ33" s="28"/>
      <c r="AK33" s="28"/>
      <c r="AL33" s="28"/>
    </row>
    <row r="34" spans="1:38" x14ac:dyDescent="0.15">
      <c r="A34" s="27"/>
      <c r="B34" s="61"/>
      <c r="C34" s="62"/>
      <c r="D34" s="27"/>
      <c r="E34" s="27"/>
      <c r="F34" s="27"/>
      <c r="G34" s="27"/>
      <c r="H34" s="27"/>
      <c r="I34" s="27"/>
      <c r="J34" s="27"/>
      <c r="K34" s="27"/>
      <c r="L34" s="27"/>
      <c r="M34" s="27"/>
      <c r="N34" s="27"/>
      <c r="O34" s="59"/>
      <c r="P34" s="27"/>
      <c r="Q34" s="27"/>
      <c r="R34" s="27"/>
      <c r="S34" s="27"/>
      <c r="T34" s="27"/>
      <c r="U34" s="27"/>
      <c r="V34" s="27"/>
      <c r="W34" s="27"/>
      <c r="X34" s="27"/>
      <c r="Y34" s="28"/>
      <c r="Z34" s="28"/>
      <c r="AA34" s="28"/>
      <c r="AB34" s="28"/>
      <c r="AC34" s="28"/>
      <c r="AD34" s="28"/>
      <c r="AE34" s="28"/>
      <c r="AF34" s="28"/>
      <c r="AG34" s="28"/>
      <c r="AH34" s="28"/>
      <c r="AI34" s="28"/>
      <c r="AJ34" s="28"/>
      <c r="AK34" s="28"/>
      <c r="AL34" s="28"/>
    </row>
    <row r="35" spans="1:38" x14ac:dyDescent="0.15">
      <c r="A35" s="27"/>
      <c r="B35" s="61"/>
      <c r="C35" s="62"/>
      <c r="D35" s="27"/>
      <c r="E35" s="27"/>
      <c r="F35" s="27"/>
      <c r="G35" s="27"/>
      <c r="H35" s="27"/>
      <c r="I35" s="27"/>
      <c r="J35" s="27"/>
      <c r="K35" s="27"/>
      <c r="L35" s="27"/>
      <c r="M35" s="27"/>
      <c r="N35" s="27"/>
      <c r="O35" s="27"/>
      <c r="P35" s="27"/>
      <c r="Q35" s="27"/>
      <c r="R35" s="27"/>
      <c r="S35" s="27"/>
      <c r="T35" s="27"/>
      <c r="U35" s="27"/>
      <c r="V35" s="27"/>
      <c r="W35" s="27"/>
      <c r="X35" s="27"/>
      <c r="Y35" s="28"/>
      <c r="Z35" s="28"/>
      <c r="AA35" s="28"/>
      <c r="AB35" s="28"/>
      <c r="AC35" s="28"/>
      <c r="AD35" s="28"/>
      <c r="AE35" s="28"/>
      <c r="AF35" s="28"/>
      <c r="AG35" s="28"/>
      <c r="AH35" s="28"/>
      <c r="AI35" s="28"/>
      <c r="AJ35" s="28"/>
      <c r="AK35" s="28"/>
      <c r="AL35" s="28"/>
    </row>
    <row r="36" spans="1:38" x14ac:dyDescent="0.15">
      <c r="A36" s="27"/>
      <c r="B36" s="27"/>
      <c r="C36" s="62"/>
      <c r="D36" s="27"/>
      <c r="E36" s="27"/>
      <c r="F36" s="27"/>
      <c r="G36" s="27"/>
      <c r="H36" s="27"/>
      <c r="I36" s="27"/>
      <c r="J36" s="27"/>
      <c r="K36" s="27"/>
      <c r="L36" s="27"/>
      <c r="M36" s="27"/>
      <c r="N36" s="27"/>
      <c r="O36" s="27"/>
      <c r="P36" s="27"/>
      <c r="Q36" s="27"/>
      <c r="R36" s="27"/>
      <c r="S36" s="27"/>
      <c r="T36" s="27"/>
      <c r="U36" s="27"/>
      <c r="V36" s="27"/>
      <c r="W36" s="27"/>
      <c r="X36" s="27"/>
      <c r="Y36" s="28"/>
      <c r="Z36" s="28"/>
      <c r="AA36" s="28"/>
      <c r="AB36" s="28"/>
      <c r="AC36" s="28"/>
      <c r="AD36" s="28"/>
      <c r="AE36" s="28"/>
      <c r="AF36" s="28"/>
      <c r="AG36" s="28"/>
      <c r="AH36" s="28"/>
      <c r="AI36" s="28"/>
      <c r="AJ36" s="28"/>
      <c r="AK36" s="28"/>
      <c r="AL36" s="28"/>
    </row>
    <row r="37" spans="1:38" x14ac:dyDescent="0.15">
      <c r="A37" s="27"/>
      <c r="C37" s="63" t="s">
        <v>37</v>
      </c>
      <c r="D37" s="27"/>
      <c r="E37" s="27"/>
      <c r="F37" s="27"/>
      <c r="G37" s="27"/>
      <c r="H37" s="27"/>
      <c r="I37" s="27"/>
      <c r="J37" s="27"/>
      <c r="K37" s="27"/>
      <c r="L37" s="27"/>
      <c r="M37" s="27"/>
      <c r="N37" s="27"/>
      <c r="O37" s="27"/>
      <c r="P37" s="27"/>
      <c r="Q37" s="27"/>
      <c r="R37" s="27"/>
      <c r="S37" s="27"/>
      <c r="T37" s="27"/>
      <c r="U37" s="27"/>
      <c r="V37" s="27"/>
      <c r="W37" s="27"/>
      <c r="X37" s="27"/>
      <c r="Y37" s="28"/>
      <c r="Z37" s="28"/>
      <c r="AA37" s="28"/>
      <c r="AB37" s="28"/>
      <c r="AC37" s="28"/>
      <c r="AD37" s="28"/>
      <c r="AE37" s="28"/>
      <c r="AF37" s="28"/>
      <c r="AG37" s="28"/>
      <c r="AH37" s="28"/>
      <c r="AI37" s="28"/>
      <c r="AJ37" s="28"/>
      <c r="AK37" s="28"/>
      <c r="AL37" s="28"/>
    </row>
    <row r="38" spans="1:38" x14ac:dyDescent="0.15">
      <c r="A38" s="27"/>
      <c r="B38" s="27"/>
      <c r="C38" s="27"/>
      <c r="D38" s="27"/>
      <c r="E38" s="27"/>
      <c r="F38" s="27"/>
      <c r="G38" s="27"/>
      <c r="H38" s="27"/>
      <c r="I38" s="27"/>
      <c r="J38" s="27"/>
      <c r="K38" s="27"/>
      <c r="L38" s="27"/>
      <c r="M38" s="27"/>
      <c r="N38" s="27"/>
      <c r="O38" s="27"/>
      <c r="P38" s="27"/>
      <c r="Q38" s="27"/>
      <c r="R38" s="27"/>
      <c r="S38" s="27"/>
      <c r="T38" s="27"/>
      <c r="U38" s="27"/>
      <c r="V38" s="27"/>
      <c r="W38" s="27"/>
      <c r="X38" s="27"/>
      <c r="Y38" s="28"/>
      <c r="Z38" s="28"/>
      <c r="AA38" s="28"/>
      <c r="AB38" s="28"/>
      <c r="AC38" s="28"/>
      <c r="AD38" s="28"/>
      <c r="AE38" s="28"/>
      <c r="AF38" s="28"/>
      <c r="AG38" s="28"/>
      <c r="AH38" s="28"/>
      <c r="AI38" s="28"/>
      <c r="AJ38" s="28"/>
      <c r="AK38" s="28"/>
      <c r="AL38" s="28"/>
    </row>
    <row r="39" spans="1:38" x14ac:dyDescent="0.15">
      <c r="A39" s="27"/>
      <c r="B39" s="27"/>
      <c r="C39" s="27"/>
      <c r="D39" s="27"/>
      <c r="E39" s="27"/>
      <c r="F39" s="27"/>
      <c r="G39" s="27"/>
      <c r="H39" s="27"/>
      <c r="I39" s="27"/>
      <c r="J39" s="27"/>
      <c r="K39" s="27"/>
      <c r="L39" s="27"/>
      <c r="M39" s="27"/>
      <c r="N39" s="27"/>
      <c r="O39" s="27"/>
      <c r="P39" s="27"/>
      <c r="Q39" s="27"/>
      <c r="R39" s="27"/>
      <c r="S39" s="27"/>
      <c r="T39" s="27"/>
      <c r="U39" s="27"/>
      <c r="V39" s="27"/>
      <c r="W39" s="27"/>
      <c r="X39" s="27"/>
      <c r="Y39" s="28"/>
      <c r="Z39" s="28"/>
      <c r="AA39" s="28"/>
      <c r="AB39" s="28"/>
      <c r="AC39" s="28"/>
      <c r="AD39" s="28"/>
      <c r="AE39" s="28"/>
      <c r="AF39" s="28"/>
      <c r="AG39" s="28"/>
      <c r="AH39" s="28"/>
      <c r="AI39" s="28"/>
      <c r="AJ39" s="28"/>
      <c r="AK39" s="28"/>
      <c r="AL39" s="28"/>
    </row>
    <row r="40" spans="1:38" x14ac:dyDescent="0.15">
      <c r="A40" s="27"/>
      <c r="B40" s="27"/>
      <c r="C40" s="27"/>
      <c r="D40" s="27"/>
      <c r="E40" s="27"/>
      <c r="F40" s="27"/>
      <c r="G40" s="27"/>
      <c r="H40" s="27"/>
      <c r="I40" s="27"/>
      <c r="J40" s="27"/>
      <c r="K40" s="27"/>
      <c r="L40" s="27"/>
      <c r="M40" s="27"/>
      <c r="N40" s="27"/>
      <c r="O40" s="27"/>
      <c r="P40" s="27"/>
      <c r="Q40" s="27"/>
      <c r="R40" s="27"/>
      <c r="S40" s="27"/>
      <c r="T40" s="27"/>
      <c r="U40" s="27"/>
      <c r="V40" s="27"/>
      <c r="W40" s="27"/>
      <c r="X40" s="27"/>
      <c r="Y40" s="28"/>
      <c r="Z40" s="28"/>
      <c r="AA40" s="28"/>
      <c r="AB40" s="28"/>
      <c r="AC40" s="28"/>
      <c r="AD40" s="28"/>
      <c r="AE40" s="28"/>
      <c r="AF40" s="28"/>
      <c r="AG40" s="28"/>
      <c r="AH40" s="28"/>
      <c r="AI40" s="28"/>
      <c r="AJ40" s="28"/>
      <c r="AK40" s="28"/>
      <c r="AL40" s="28"/>
    </row>
    <row r="41" spans="1:38" x14ac:dyDescent="0.15">
      <c r="A41" s="27"/>
      <c r="B41" s="27"/>
      <c r="C41" s="27"/>
      <c r="D41" s="27"/>
      <c r="E41" s="27"/>
      <c r="F41" s="27"/>
      <c r="G41" s="27"/>
      <c r="H41" s="27"/>
      <c r="I41" s="27"/>
      <c r="J41" s="27"/>
      <c r="K41" s="27"/>
      <c r="L41" s="27"/>
      <c r="M41" s="27"/>
      <c r="N41" s="27"/>
      <c r="O41" s="27"/>
      <c r="P41" s="27"/>
      <c r="Q41" s="27"/>
      <c r="R41" s="27"/>
      <c r="S41" s="27"/>
      <c r="T41" s="27"/>
      <c r="U41" s="27"/>
      <c r="V41" s="27"/>
      <c r="W41" s="27"/>
      <c r="X41" s="27"/>
      <c r="Y41" s="28"/>
      <c r="Z41" s="28"/>
      <c r="AA41" s="28"/>
      <c r="AB41" s="28"/>
      <c r="AC41" s="28"/>
      <c r="AD41" s="28"/>
      <c r="AE41" s="28"/>
      <c r="AF41" s="28"/>
      <c r="AG41" s="28"/>
      <c r="AH41" s="28"/>
      <c r="AI41" s="28"/>
      <c r="AJ41" s="28"/>
      <c r="AK41" s="28"/>
      <c r="AL41" s="28"/>
    </row>
    <row r="42" spans="1:38" x14ac:dyDescent="0.15">
      <c r="A42" s="27"/>
      <c r="B42" s="27"/>
      <c r="C42" s="27"/>
      <c r="D42" s="27"/>
      <c r="E42" s="27"/>
      <c r="F42" s="27"/>
      <c r="G42" s="27"/>
      <c r="H42" s="27"/>
      <c r="I42" s="27"/>
      <c r="J42" s="27"/>
      <c r="K42" s="27"/>
      <c r="L42" s="27"/>
      <c r="M42" s="27"/>
      <c r="N42" s="27"/>
      <c r="O42" s="27"/>
      <c r="P42" s="27"/>
      <c r="Q42" s="27"/>
      <c r="R42" s="27"/>
      <c r="S42" s="27"/>
      <c r="T42" s="27"/>
      <c r="U42" s="27"/>
      <c r="V42" s="27"/>
      <c r="W42" s="27"/>
      <c r="X42" s="27"/>
      <c r="Y42" s="28"/>
      <c r="Z42" s="28"/>
      <c r="AA42" s="28"/>
      <c r="AB42" s="28"/>
      <c r="AC42" s="28"/>
      <c r="AD42" s="28"/>
      <c r="AE42" s="28"/>
      <c r="AF42" s="28"/>
      <c r="AG42" s="28"/>
      <c r="AH42" s="28"/>
      <c r="AI42" s="28"/>
      <c r="AJ42" s="28"/>
      <c r="AK42" s="28"/>
      <c r="AL42" s="28"/>
    </row>
    <row r="43" spans="1:38" ht="12.75" customHeight="1" x14ac:dyDescent="0.15">
      <c r="A43" s="27"/>
      <c r="X43" s="27"/>
      <c r="Y43" s="28"/>
      <c r="Z43" s="28"/>
      <c r="AA43" s="28"/>
      <c r="AB43" s="28"/>
      <c r="AC43" s="28"/>
      <c r="AD43" s="28"/>
      <c r="AE43" s="28"/>
      <c r="AF43" s="28"/>
      <c r="AG43" s="28"/>
      <c r="AH43" s="28"/>
      <c r="AI43" s="28"/>
      <c r="AJ43" s="28"/>
      <c r="AK43" s="28"/>
      <c r="AL43" s="28"/>
    </row>
    <row r="44" spans="1:38" ht="41.25" customHeight="1" x14ac:dyDescent="0.15">
      <c r="A44" s="27"/>
      <c r="B44" s="200" t="s">
        <v>10</v>
      </c>
      <c r="C44" s="200"/>
      <c r="D44" s="200"/>
      <c r="E44" s="200"/>
      <c r="F44" s="200"/>
      <c r="G44" s="200"/>
      <c r="H44" s="200"/>
      <c r="I44" s="200"/>
      <c r="J44" s="200"/>
      <c r="K44" s="200"/>
      <c r="L44" s="200"/>
      <c r="M44" s="200"/>
      <c r="N44" s="200"/>
      <c r="O44" s="200"/>
      <c r="P44" s="200"/>
      <c r="Q44" s="200"/>
      <c r="R44" s="200"/>
      <c r="S44" s="200"/>
      <c r="T44" s="200"/>
      <c r="U44" s="200"/>
      <c r="V44" s="200"/>
      <c r="W44" s="200"/>
      <c r="X44" s="27"/>
      <c r="Y44" s="28"/>
      <c r="Z44" s="28"/>
      <c r="AA44" s="28"/>
      <c r="AB44" s="28"/>
      <c r="AC44" s="28"/>
      <c r="AD44" s="28"/>
      <c r="AE44" s="28"/>
      <c r="AF44" s="28"/>
      <c r="AG44" s="28"/>
      <c r="AH44" s="28"/>
      <c r="AI44" s="28"/>
      <c r="AJ44" s="28"/>
      <c r="AK44" s="28"/>
      <c r="AL44" s="28"/>
    </row>
    <row r="45" spans="1:38" x14ac:dyDescent="0.15">
      <c r="A45" s="27"/>
      <c r="B45" s="27"/>
      <c r="C45" s="27"/>
      <c r="D45" s="27"/>
      <c r="E45" s="27"/>
      <c r="F45" s="27"/>
      <c r="G45" s="27"/>
      <c r="H45" s="27"/>
      <c r="I45" s="27"/>
      <c r="J45" s="27"/>
      <c r="K45" s="27"/>
      <c r="L45" s="27"/>
      <c r="M45" s="27"/>
      <c r="N45" s="27"/>
      <c r="O45" s="27"/>
      <c r="P45" s="27"/>
      <c r="Q45" s="27"/>
      <c r="R45" s="27"/>
      <c r="S45" s="27"/>
      <c r="T45" s="27"/>
      <c r="U45" s="27"/>
      <c r="V45" s="27"/>
      <c r="W45" s="27"/>
      <c r="X45" s="27"/>
      <c r="Y45" s="28"/>
      <c r="Z45" s="28"/>
      <c r="AA45" s="28"/>
      <c r="AB45" s="28"/>
      <c r="AC45" s="28"/>
      <c r="AD45" s="28"/>
      <c r="AE45" s="28"/>
      <c r="AF45" s="28"/>
      <c r="AG45" s="28"/>
      <c r="AH45" s="28"/>
      <c r="AI45" s="28"/>
      <c r="AJ45" s="28"/>
      <c r="AK45" s="28"/>
      <c r="AL45" s="28"/>
    </row>
    <row r="46" spans="1:38" x14ac:dyDescent="0.15">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row>
    <row r="47" spans="1:38" x14ac:dyDescent="0.15">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row>
    <row r="48" spans="1:38" x14ac:dyDescent="0.15">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row>
    <row r="49" spans="1:38" x14ac:dyDescent="0.15">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row>
    <row r="50" spans="1:38" x14ac:dyDescent="0.15">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row>
    <row r="51" spans="1:38" x14ac:dyDescent="0.15">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row>
    <row r="52" spans="1:38" x14ac:dyDescent="0.15">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row>
    <row r="53" spans="1:38" x14ac:dyDescent="0.15">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row>
    <row r="54" spans="1:38" x14ac:dyDescent="0.15">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row>
    <row r="55" spans="1:38" x14ac:dyDescent="0.1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row>
    <row r="56" spans="1:38" x14ac:dyDescent="0.15">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row>
    <row r="57" spans="1:38" x14ac:dyDescent="0.15">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row>
    <row r="58" spans="1:38" x14ac:dyDescent="0.15">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row>
  </sheetData>
  <mergeCells count="31">
    <mergeCell ref="O24:R24"/>
    <mergeCell ref="C24:F24"/>
    <mergeCell ref="C27:E27"/>
    <mergeCell ref="B44:W44"/>
    <mergeCell ref="O29:Q29"/>
    <mergeCell ref="O28:Q28"/>
    <mergeCell ref="O27:Q27"/>
    <mergeCell ref="O26:R26"/>
    <mergeCell ref="P8:V8"/>
    <mergeCell ref="C23:F23"/>
    <mergeCell ref="C22:F22"/>
    <mergeCell ref="M15:N15"/>
    <mergeCell ref="C21:F21"/>
    <mergeCell ref="C20:F20"/>
    <mergeCell ref="C19:F19"/>
    <mergeCell ref="D18:J18"/>
    <mergeCell ref="O23:R23"/>
    <mergeCell ref="O22:R22"/>
    <mergeCell ref="O21:R21"/>
    <mergeCell ref="O20:R20"/>
    <mergeCell ref="O19:R19"/>
    <mergeCell ref="P18:V18"/>
    <mergeCell ref="D8:J8"/>
    <mergeCell ref="C29:E29"/>
    <mergeCell ref="C26:F26"/>
    <mergeCell ref="C28:E28"/>
    <mergeCell ref="M14:N14"/>
    <mergeCell ref="M13:N13"/>
    <mergeCell ref="M12:N12"/>
    <mergeCell ref="M11:N11"/>
    <mergeCell ref="M10:N10"/>
  </mergeCells>
  <phoneticPr fontId="0" type="noConversion"/>
  <printOptions gridLinesSet="0"/>
  <pageMargins left="0" right="0" top="0" bottom="0" header="0.5" footer="0.5"/>
  <pageSetup paperSize="0" orientation="landscape" horizontalDpi="0" verticalDpi="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41AF-67AD-4C48-8B6F-4EBF2CC4D644}">
  <sheetPr>
    <outlinePr summaryBelow="0" summaryRight="0"/>
    <pageSetUpPr autoPageBreaks="0" fitToPage="1"/>
  </sheetPr>
  <dimension ref="A1:AX100"/>
  <sheetViews>
    <sheetView showGridLines="0" zoomScale="75" zoomScaleNormal="75" zoomScaleSheetLayoutView="75" workbookViewId="0"/>
  </sheetViews>
  <sheetFormatPr defaultRowHeight="12.75" x14ac:dyDescent="0.15"/>
  <cols>
    <col min="1" max="1" width="2.6953125" customWidth="1"/>
    <col min="2" max="2" width="21.3046875" customWidth="1"/>
    <col min="3" max="14" width="9.70703125" customWidth="1"/>
    <col min="15" max="15" width="1.48046875" customWidth="1"/>
    <col min="16" max="27" width="9.70703125" customWidth="1"/>
    <col min="28" max="28" width="3.50390625" customWidth="1"/>
    <col min="29" max="31" width="9.16796875" customWidth="1"/>
  </cols>
  <sheetData>
    <row r="1" spans="1:39" ht="30" customHeight="1" x14ac:dyDescent="0.15">
      <c r="A1" s="64"/>
      <c r="B1" s="153" t="s">
        <v>38</v>
      </c>
      <c r="V1" s="65"/>
      <c r="W1" s="65"/>
      <c r="X1" s="65"/>
      <c r="Y1" s="65"/>
      <c r="Z1" s="65"/>
      <c r="AA1" s="65"/>
      <c r="AB1" s="159" t="s">
        <v>39</v>
      </c>
      <c r="AC1" s="28"/>
      <c r="AD1" s="28"/>
      <c r="AE1" s="28"/>
      <c r="AF1" s="28"/>
      <c r="AG1" s="28"/>
      <c r="AH1" s="28"/>
      <c r="AI1" s="28"/>
      <c r="AJ1" s="28"/>
      <c r="AK1" s="28"/>
      <c r="AL1" s="28"/>
      <c r="AM1" s="28"/>
    </row>
    <row r="2" spans="1:39" ht="15" customHeight="1" x14ac:dyDescent="0.15">
      <c r="A2" s="66"/>
      <c r="B2" s="66" t="s">
        <v>1</v>
      </c>
      <c r="V2" s="65"/>
      <c r="W2" s="65"/>
      <c r="X2" s="65"/>
      <c r="Y2" s="65"/>
      <c r="Z2" s="65"/>
      <c r="AA2" s="65"/>
      <c r="AB2" s="65"/>
      <c r="AC2" s="28"/>
      <c r="AD2" s="28"/>
      <c r="AE2" s="28"/>
      <c r="AF2" s="28"/>
      <c r="AG2" s="28"/>
      <c r="AH2" s="28"/>
      <c r="AI2" s="28"/>
      <c r="AJ2" s="28"/>
      <c r="AK2" s="28"/>
      <c r="AL2" s="28"/>
      <c r="AM2" s="28"/>
    </row>
    <row r="3" spans="1:39" ht="16.5" customHeight="1" x14ac:dyDescent="0.2">
      <c r="A3" s="66"/>
      <c r="B3" s="154" t="s">
        <v>2</v>
      </c>
      <c r="L3" s="67"/>
      <c r="V3" s="65"/>
      <c r="W3" s="65"/>
      <c r="X3" s="65"/>
      <c r="Y3" s="65"/>
      <c r="Z3" s="65"/>
      <c r="AA3" s="65"/>
      <c r="AB3" s="65"/>
      <c r="AC3" s="28"/>
      <c r="AD3" s="28"/>
      <c r="AE3" s="28"/>
      <c r="AF3" s="28"/>
      <c r="AG3" s="28"/>
      <c r="AH3" s="28"/>
      <c r="AI3" s="28"/>
      <c r="AJ3" s="28"/>
      <c r="AK3" s="28"/>
      <c r="AL3" s="28"/>
      <c r="AM3" s="28"/>
    </row>
    <row r="4" spans="1:39" ht="12.75" customHeight="1" x14ac:dyDescent="0.15">
      <c r="V4" s="65"/>
      <c r="W4" s="65"/>
      <c r="X4" s="65"/>
      <c r="Y4" s="65"/>
      <c r="Z4" s="65"/>
      <c r="AA4" s="65"/>
      <c r="AB4" s="65"/>
      <c r="AC4" s="28"/>
      <c r="AD4" s="28"/>
      <c r="AE4" s="28"/>
      <c r="AF4" s="28"/>
      <c r="AG4" s="28"/>
      <c r="AH4" s="28"/>
      <c r="AI4" s="28"/>
      <c r="AJ4" s="28"/>
      <c r="AK4" s="28"/>
      <c r="AL4" s="28"/>
      <c r="AM4" s="28"/>
    </row>
    <row r="5" spans="1:39" ht="18" customHeight="1" x14ac:dyDescent="0.15">
      <c r="A5" s="68"/>
      <c r="B5" s="155"/>
      <c r="V5" s="65"/>
      <c r="W5" s="65"/>
      <c r="X5" s="65"/>
      <c r="Y5" s="65"/>
      <c r="Z5" s="65"/>
      <c r="AA5" s="65"/>
      <c r="AB5" s="5"/>
      <c r="AC5" s="28"/>
      <c r="AD5" s="28"/>
      <c r="AE5" s="28"/>
      <c r="AF5" s="28"/>
      <c r="AG5" s="28"/>
      <c r="AH5" s="28"/>
      <c r="AI5" s="28"/>
      <c r="AJ5" s="28"/>
      <c r="AK5" s="28"/>
      <c r="AL5" s="28"/>
      <c r="AM5" s="28"/>
    </row>
    <row r="6" spans="1:39" ht="18" customHeight="1" x14ac:dyDescent="0.15">
      <c r="A6" s="68"/>
      <c r="B6" s="155"/>
      <c r="V6" s="65"/>
      <c r="W6" s="65"/>
      <c r="X6" s="65"/>
      <c r="Y6" s="65"/>
      <c r="Z6" s="65"/>
      <c r="AA6" s="65"/>
      <c r="AB6" s="5"/>
      <c r="AC6" s="28"/>
      <c r="AD6" s="28"/>
      <c r="AE6" s="28"/>
      <c r="AF6" s="28"/>
      <c r="AG6" s="28"/>
      <c r="AH6" s="28"/>
      <c r="AI6" s="28"/>
      <c r="AJ6" s="28"/>
      <c r="AK6" s="28"/>
      <c r="AL6" s="28"/>
      <c r="AM6" s="28"/>
    </row>
    <row r="7" spans="1:39" ht="15.75" customHeight="1" x14ac:dyDescent="0.15">
      <c r="C7" s="206" t="s">
        <v>40</v>
      </c>
      <c r="D7" s="206"/>
      <c r="E7" s="206"/>
      <c r="F7" s="206"/>
      <c r="G7" s="206"/>
      <c r="H7" s="206"/>
      <c r="I7" s="206"/>
      <c r="J7" s="206"/>
      <c r="K7" s="206"/>
      <c r="L7" s="206"/>
      <c r="M7" s="206"/>
      <c r="N7" s="69"/>
      <c r="O7" s="70"/>
      <c r="P7" s="211" t="s">
        <v>41</v>
      </c>
      <c r="Q7" s="211"/>
      <c r="R7" s="211"/>
      <c r="S7" s="211"/>
      <c r="T7" s="211"/>
      <c r="U7" s="211"/>
      <c r="V7" s="211"/>
      <c r="W7" s="211"/>
      <c r="X7" s="211"/>
      <c r="Y7" s="211"/>
      <c r="Z7" s="211"/>
      <c r="AA7" s="71"/>
      <c r="AC7" s="28"/>
      <c r="AD7" s="28"/>
      <c r="AE7" s="28"/>
      <c r="AF7" s="28"/>
      <c r="AG7" s="28"/>
      <c r="AH7" s="28"/>
      <c r="AI7" s="28"/>
      <c r="AJ7" s="28"/>
      <c r="AK7" s="28"/>
      <c r="AL7" s="28"/>
      <c r="AM7" s="28"/>
    </row>
    <row r="8" spans="1:39" ht="15.75" customHeight="1" x14ac:dyDescent="0.15">
      <c r="C8" s="209" t="s">
        <v>42</v>
      </c>
      <c r="D8" s="208"/>
      <c r="E8" s="208"/>
      <c r="F8" s="72"/>
      <c r="G8" s="209" t="s">
        <v>43</v>
      </c>
      <c r="H8" s="208"/>
      <c r="I8" s="208"/>
      <c r="J8" s="72"/>
      <c r="K8" s="207" t="s">
        <v>44</v>
      </c>
      <c r="L8" s="208"/>
      <c r="M8" s="208"/>
      <c r="N8" s="73"/>
      <c r="O8" s="70"/>
      <c r="P8" s="209" t="s">
        <v>42</v>
      </c>
      <c r="Q8" s="208"/>
      <c r="R8" s="208"/>
      <c r="S8" s="72"/>
      <c r="T8" s="207" t="s">
        <v>45</v>
      </c>
      <c r="U8" s="208"/>
      <c r="V8" s="208"/>
      <c r="W8" s="72"/>
      <c r="X8" s="209" t="s">
        <v>46</v>
      </c>
      <c r="Y8" s="208"/>
      <c r="Z8" s="208"/>
      <c r="AA8" s="73"/>
      <c r="AC8" s="28"/>
      <c r="AD8" s="28"/>
      <c r="AE8" s="28"/>
      <c r="AF8" s="28"/>
      <c r="AG8" s="28"/>
      <c r="AH8" s="28"/>
      <c r="AI8" s="28"/>
      <c r="AJ8" s="28"/>
      <c r="AK8" s="28"/>
      <c r="AL8" s="28"/>
      <c r="AM8" s="28"/>
    </row>
    <row r="9" spans="1:39" ht="27" customHeight="1" x14ac:dyDescent="0.2">
      <c r="A9" s="74"/>
      <c r="B9" s="156" t="s">
        <v>47</v>
      </c>
      <c r="C9" s="75" t="s">
        <v>48</v>
      </c>
      <c r="D9" s="76" t="s">
        <v>49</v>
      </c>
      <c r="E9" s="76" t="s">
        <v>50</v>
      </c>
      <c r="F9" s="76" t="s">
        <v>51</v>
      </c>
      <c r="G9" s="75" t="s">
        <v>48</v>
      </c>
      <c r="H9" s="76" t="s">
        <v>49</v>
      </c>
      <c r="I9" s="76" t="s">
        <v>50</v>
      </c>
      <c r="J9" s="76" t="s">
        <v>51</v>
      </c>
      <c r="K9" s="75" t="s">
        <v>48</v>
      </c>
      <c r="L9" s="76" t="s">
        <v>49</v>
      </c>
      <c r="M9" s="76" t="s">
        <v>50</v>
      </c>
      <c r="N9" s="77" t="s">
        <v>51</v>
      </c>
      <c r="O9" s="78"/>
      <c r="P9" s="75" t="s">
        <v>48</v>
      </c>
      <c r="Q9" s="76" t="s">
        <v>49</v>
      </c>
      <c r="R9" s="76" t="s">
        <v>50</v>
      </c>
      <c r="S9" s="76" t="s">
        <v>51</v>
      </c>
      <c r="T9" s="75" t="s">
        <v>48</v>
      </c>
      <c r="U9" s="76" t="s">
        <v>49</v>
      </c>
      <c r="V9" s="76" t="s">
        <v>50</v>
      </c>
      <c r="W9" s="76" t="s">
        <v>51</v>
      </c>
      <c r="X9" s="75" t="s">
        <v>48</v>
      </c>
      <c r="Y9" s="76" t="s">
        <v>49</v>
      </c>
      <c r="Z9" s="76" t="s">
        <v>50</v>
      </c>
      <c r="AA9" s="77" t="s">
        <v>51</v>
      </c>
      <c r="AC9" s="28"/>
      <c r="AD9" s="28"/>
      <c r="AE9" s="28"/>
      <c r="AF9" s="28"/>
      <c r="AG9" s="28"/>
      <c r="AH9" s="28"/>
      <c r="AI9" s="28"/>
      <c r="AJ9" s="28"/>
      <c r="AK9" s="28"/>
      <c r="AL9" s="28"/>
      <c r="AM9" s="28"/>
    </row>
    <row r="10" spans="1:39" ht="18" customHeight="1" x14ac:dyDescent="0.2">
      <c r="A10" s="74"/>
      <c r="B10" s="137" t="s">
        <v>52</v>
      </c>
      <c r="C10" s="138">
        <v>33.666076782172503</v>
      </c>
      <c r="D10" s="150">
        <v>24.810581694485901</v>
      </c>
      <c r="E10" s="150">
        <v>0</v>
      </c>
      <c r="F10" s="150">
        <v>58.4766584766584</v>
      </c>
      <c r="G10" s="139">
        <v>398.92982936136502</v>
      </c>
      <c r="H10" s="151">
        <v>487.509976056619</v>
      </c>
      <c r="I10" s="151">
        <v>0</v>
      </c>
      <c r="J10" s="151">
        <v>436.51277310924303</v>
      </c>
      <c r="K10" s="139">
        <v>134.30402265978699</v>
      </c>
      <c r="L10" s="151">
        <v>120.954060878296</v>
      </c>
      <c r="M10" s="151">
        <v>0</v>
      </c>
      <c r="N10" s="151">
        <v>255.25808353808301</v>
      </c>
      <c r="O10" s="140"/>
      <c r="P10" s="138">
        <v>27.274064330979201</v>
      </c>
      <c r="Q10" s="150">
        <v>-37.784608017102997</v>
      </c>
      <c r="R10" s="150">
        <v>0</v>
      </c>
      <c r="S10" s="150">
        <v>-11.8400242840708</v>
      </c>
      <c r="T10" s="138">
        <v>16.3793582589804</v>
      </c>
      <c r="U10" s="150">
        <v>10.6182550517215</v>
      </c>
      <c r="V10" s="150">
        <v>0</v>
      </c>
      <c r="W10" s="150">
        <v>8.6770047567536306</v>
      </c>
      <c r="X10" s="138">
        <v>48.120739298515502</v>
      </c>
      <c r="Y10" s="150">
        <v>-31.1784190149307</v>
      </c>
      <c r="Z10" s="150">
        <v>0</v>
      </c>
      <c r="AA10" s="150">
        <v>-4.1903789976468104</v>
      </c>
      <c r="AB10" s="141"/>
      <c r="AC10" s="28"/>
      <c r="AD10" s="28"/>
      <c r="AE10" s="28"/>
      <c r="AF10" s="28"/>
      <c r="AG10" s="28"/>
      <c r="AH10" s="28"/>
      <c r="AI10" s="28"/>
      <c r="AJ10" s="28"/>
      <c r="AK10" s="28"/>
      <c r="AL10" s="28"/>
      <c r="AM10" s="28"/>
    </row>
    <row r="11" spans="1:39" ht="18" customHeight="1" x14ac:dyDescent="0.2">
      <c r="A11" s="74"/>
      <c r="B11" s="142" t="s">
        <v>53</v>
      </c>
      <c r="C11" s="143">
        <v>42.921595193159</v>
      </c>
      <c r="D11" s="144">
        <v>30.671051559012199</v>
      </c>
      <c r="E11" s="144">
        <v>2.56541548262358</v>
      </c>
      <c r="F11" s="144">
        <v>76.158062234794897</v>
      </c>
      <c r="G11" s="145">
        <v>332.18264238657503</v>
      </c>
      <c r="H11" s="146">
        <v>296.59207684940202</v>
      </c>
      <c r="I11" s="146">
        <v>504.23627898692098</v>
      </c>
      <c r="J11" s="146">
        <v>323.64499071387098</v>
      </c>
      <c r="K11" s="145">
        <v>142.578089067104</v>
      </c>
      <c r="L11" s="146">
        <v>90.967908810425698</v>
      </c>
      <c r="M11" s="146">
        <v>12.9357555701355</v>
      </c>
      <c r="N11" s="146">
        <v>246.48175344766599</v>
      </c>
      <c r="O11" s="140"/>
      <c r="P11" s="143">
        <v>-4.7119981298979896</v>
      </c>
      <c r="Q11" s="144">
        <v>13.2941318893222</v>
      </c>
      <c r="R11" s="144">
        <v>-39.163385527320301</v>
      </c>
      <c r="S11" s="144">
        <v>-0.22920523407382701</v>
      </c>
      <c r="T11" s="143">
        <v>-1.0449588309096201</v>
      </c>
      <c r="U11" s="144">
        <v>-4.0753577929952396</v>
      </c>
      <c r="V11" s="144">
        <v>15.8654508563046</v>
      </c>
      <c r="W11" s="144">
        <v>-2.4547612561115</v>
      </c>
      <c r="X11" s="143">
        <v>-5.7077185202369396</v>
      </c>
      <c r="Y11" s="144">
        <v>8.6769906563644206</v>
      </c>
      <c r="Z11" s="144">
        <v>-29.511382355517799</v>
      </c>
      <c r="AA11" s="144">
        <v>-2.6783400489022999</v>
      </c>
      <c r="AB11" s="141"/>
      <c r="AC11" s="28"/>
      <c r="AD11" s="28"/>
      <c r="AE11" s="28"/>
      <c r="AF11" s="28"/>
      <c r="AG11" s="28"/>
      <c r="AH11" s="28"/>
      <c r="AI11" s="28"/>
      <c r="AJ11" s="28"/>
      <c r="AK11" s="28"/>
      <c r="AL11" s="28"/>
      <c r="AM11" s="28"/>
    </row>
    <row r="12" spans="1:39" ht="18" customHeight="1" x14ac:dyDescent="0.2">
      <c r="A12" s="74"/>
      <c r="B12" s="147" t="s">
        <v>54</v>
      </c>
      <c r="C12" s="148">
        <v>47.8014552159716</v>
      </c>
      <c r="D12" s="79">
        <v>22.709539879741001</v>
      </c>
      <c r="E12" s="79">
        <v>0</v>
      </c>
      <c r="F12" s="79">
        <v>70.510995095712701</v>
      </c>
      <c r="G12" s="149">
        <v>294.49193502492199</v>
      </c>
      <c r="H12" s="80">
        <v>331.51583777152501</v>
      </c>
      <c r="I12" s="80">
        <v>0</v>
      </c>
      <c r="J12" s="80">
        <v>306.41625682447</v>
      </c>
      <c r="K12" s="149">
        <v>140.77143043558601</v>
      </c>
      <c r="L12" s="80">
        <v>75.285721386382207</v>
      </c>
      <c r="M12" s="80">
        <v>0</v>
      </c>
      <c r="N12" s="80">
        <v>216.057151821969</v>
      </c>
      <c r="O12" s="140"/>
      <c r="P12" s="148">
        <v>-5.9648896169772501</v>
      </c>
      <c r="Q12" s="79">
        <v>-10.291541721817699</v>
      </c>
      <c r="R12" s="79">
        <v>-100</v>
      </c>
      <c r="S12" s="79">
        <v>-7.4564453972309996</v>
      </c>
      <c r="T12" s="148">
        <v>8.1667187499718494</v>
      </c>
      <c r="U12" s="79">
        <v>16.7286598665296</v>
      </c>
      <c r="V12" s="79">
        <v>-100</v>
      </c>
      <c r="W12" s="79">
        <v>10.9184204427651</v>
      </c>
      <c r="X12" s="148">
        <v>1.7146933742298001</v>
      </c>
      <c r="Y12" s="79">
        <v>4.7154811350469599</v>
      </c>
      <c r="Z12" s="79">
        <v>-100</v>
      </c>
      <c r="AA12" s="79">
        <v>2.6478489869792301</v>
      </c>
      <c r="AB12" s="141"/>
      <c r="AC12" s="28"/>
      <c r="AD12" s="28"/>
      <c r="AE12" s="28"/>
      <c r="AF12" s="28"/>
      <c r="AG12" s="28"/>
      <c r="AH12" s="28"/>
      <c r="AI12" s="28"/>
      <c r="AJ12" s="28"/>
      <c r="AK12" s="28"/>
      <c r="AL12" s="28"/>
      <c r="AM12" s="28"/>
    </row>
    <row r="13" spans="1:39" ht="18" customHeight="1" x14ac:dyDescent="0.2">
      <c r="A13" s="74"/>
      <c r="B13" s="142" t="s">
        <v>55</v>
      </c>
      <c r="C13" s="143">
        <v>59.022235106965098</v>
      </c>
      <c r="D13" s="144">
        <v>11.411560877994299</v>
      </c>
      <c r="E13" s="144">
        <v>2.4904195728232001</v>
      </c>
      <c r="F13" s="144">
        <v>72.924215557782702</v>
      </c>
      <c r="G13" s="145">
        <v>282.066323456416</v>
      </c>
      <c r="H13" s="146">
        <v>270.48459159094699</v>
      </c>
      <c r="I13" s="146">
        <v>180.35991106930001</v>
      </c>
      <c r="J13" s="146">
        <v>276.780599429115</v>
      </c>
      <c r="K13" s="145">
        <v>166.48184858801901</v>
      </c>
      <c r="L13" s="146">
        <v>30.866513834995398</v>
      </c>
      <c r="M13" s="146">
        <v>4.4917185267963697</v>
      </c>
      <c r="N13" s="146">
        <v>201.84008094981101</v>
      </c>
      <c r="O13" s="140"/>
      <c r="P13" s="143">
        <v>10.4044082870994</v>
      </c>
      <c r="Q13" s="144">
        <v>-7.0806621702688703</v>
      </c>
      <c r="R13" s="144">
        <v>15.4877835141713</v>
      </c>
      <c r="S13" s="144">
        <v>7.4032019984103501</v>
      </c>
      <c r="T13" s="143">
        <v>2.7638890505365099</v>
      </c>
      <c r="U13" s="144">
        <v>-8.5377145337158407</v>
      </c>
      <c r="V13" s="144">
        <v>12.251691711299401</v>
      </c>
      <c r="W13" s="144">
        <v>0.75381297825294002</v>
      </c>
      <c r="X13" s="143">
        <v>13.455863639056201</v>
      </c>
      <c r="Y13" s="144">
        <v>-15.013849980790299</v>
      </c>
      <c r="Z13" s="144">
        <v>29.636990714540499</v>
      </c>
      <c r="AA13" s="144">
        <v>8.2128212741335904</v>
      </c>
      <c r="AB13" s="141"/>
      <c r="AC13" s="28"/>
      <c r="AD13" s="28"/>
      <c r="AE13" s="28"/>
      <c r="AF13" s="28"/>
      <c r="AG13" s="28"/>
      <c r="AH13" s="28"/>
      <c r="AI13" s="28"/>
      <c r="AJ13" s="28"/>
      <c r="AK13" s="28"/>
      <c r="AL13" s="28"/>
      <c r="AM13" s="28"/>
    </row>
    <row r="14" spans="1:39" ht="18" customHeight="1" x14ac:dyDescent="0.2">
      <c r="A14" s="81"/>
      <c r="B14" s="147" t="s">
        <v>56</v>
      </c>
      <c r="C14" s="148">
        <v>43.624674232511801</v>
      </c>
      <c r="D14" s="79">
        <v>30.7767160104891</v>
      </c>
      <c r="E14" s="79">
        <v>0.92858860918313801</v>
      </c>
      <c r="F14" s="79">
        <v>75.329978852183999</v>
      </c>
      <c r="G14" s="149">
        <v>290.16852439565599</v>
      </c>
      <c r="H14" s="80">
        <v>257.20856593577702</v>
      </c>
      <c r="I14" s="80">
        <v>132.41672603108501</v>
      </c>
      <c r="J14" s="80">
        <v>274.75784962891203</v>
      </c>
      <c r="K14" s="149">
        <v>126.585073492891</v>
      </c>
      <c r="L14" s="80">
        <v>79.160349892705995</v>
      </c>
      <c r="M14" s="80">
        <v>1.2296066345779</v>
      </c>
      <c r="N14" s="80">
        <v>206.97503002017501</v>
      </c>
      <c r="O14" s="140"/>
      <c r="P14" s="148">
        <v>-5.1086078590218396</v>
      </c>
      <c r="Q14" s="79">
        <v>33.982949521315298</v>
      </c>
      <c r="R14" s="79">
        <v>-1.6643273329216299</v>
      </c>
      <c r="S14" s="79">
        <v>7.7864142548069299</v>
      </c>
      <c r="T14" s="148">
        <v>19.257317476800299</v>
      </c>
      <c r="U14" s="79">
        <v>7.9000479867752702</v>
      </c>
      <c r="V14" s="79">
        <v>-5.3653571912021896</v>
      </c>
      <c r="W14" s="79">
        <v>14.3425683282029</v>
      </c>
      <c r="X14" s="148">
        <v>13.1649287837218</v>
      </c>
      <c r="Y14" s="79">
        <v>44.567666827596199</v>
      </c>
      <c r="Z14" s="79">
        <v>-6.9403874178817704</v>
      </c>
      <c r="AA14" s="79">
        <v>23.2457543678224</v>
      </c>
      <c r="AB14" s="141"/>
      <c r="AC14" s="28"/>
      <c r="AD14" s="28"/>
      <c r="AE14" s="28"/>
      <c r="AF14" s="28"/>
      <c r="AG14" s="28"/>
      <c r="AH14" s="28"/>
      <c r="AI14" s="28"/>
      <c r="AJ14" s="28"/>
      <c r="AK14" s="28"/>
      <c r="AL14" s="28"/>
      <c r="AM14" s="28"/>
    </row>
    <row r="15" spans="1:39" ht="18" customHeight="1" x14ac:dyDescent="0.2">
      <c r="A15" s="81"/>
      <c r="B15" s="142" t="s">
        <v>57</v>
      </c>
      <c r="C15" s="143">
        <v>39.039410300952802</v>
      </c>
      <c r="D15" s="144">
        <v>37.881370547951597</v>
      </c>
      <c r="E15" s="144">
        <v>0</v>
      </c>
      <c r="F15" s="144">
        <v>76.920780848904499</v>
      </c>
      <c r="G15" s="145">
        <v>232.667631132232</v>
      </c>
      <c r="H15" s="146">
        <v>283.06123928575698</v>
      </c>
      <c r="I15" s="146">
        <v>0</v>
      </c>
      <c r="J15" s="146">
        <v>257.48509817617298</v>
      </c>
      <c r="K15" s="145">
        <v>90.832071155219595</v>
      </c>
      <c r="L15" s="146">
        <v>107.227476931461</v>
      </c>
      <c r="M15" s="146">
        <v>0</v>
      </c>
      <c r="N15" s="146">
        <v>198.05954808668099</v>
      </c>
      <c r="O15" s="140"/>
      <c r="P15" s="143">
        <v>0.99821309742717101</v>
      </c>
      <c r="Q15" s="144">
        <v>15.0770005996677</v>
      </c>
      <c r="R15" s="144">
        <v>0</v>
      </c>
      <c r="S15" s="144">
        <v>7.4735173909416899</v>
      </c>
      <c r="T15" s="143">
        <v>1.35606519173854</v>
      </c>
      <c r="U15" s="144">
        <v>6.7262700912389901</v>
      </c>
      <c r="V15" s="144">
        <v>0</v>
      </c>
      <c r="W15" s="144">
        <v>4.6861190219532904</v>
      </c>
      <c r="X15" s="143">
        <v>2.3678147095192998</v>
      </c>
      <c r="Y15" s="144">
        <v>22.817390472898101</v>
      </c>
      <c r="Z15" s="144">
        <v>0</v>
      </c>
      <c r="AA15" s="144">
        <v>12.5098543329609</v>
      </c>
      <c r="AB15" s="141"/>
      <c r="AC15" s="28"/>
      <c r="AD15" s="28"/>
      <c r="AE15" s="28"/>
      <c r="AF15" s="28"/>
      <c r="AG15" s="28"/>
      <c r="AH15" s="28"/>
      <c r="AI15" s="28"/>
      <c r="AJ15" s="28"/>
      <c r="AK15" s="28"/>
      <c r="AL15" s="28"/>
      <c r="AM15" s="28"/>
    </row>
    <row r="16" spans="1:39" ht="18" customHeight="1" x14ac:dyDescent="0.2">
      <c r="A16" s="81"/>
      <c r="B16" s="152"/>
      <c r="C16" s="150"/>
      <c r="D16" s="150"/>
      <c r="E16" s="150"/>
      <c r="F16" s="150"/>
      <c r="G16" s="151"/>
      <c r="H16" s="151"/>
      <c r="I16" s="151"/>
      <c r="J16" s="151"/>
      <c r="K16" s="151"/>
      <c r="L16" s="151"/>
      <c r="M16" s="151"/>
      <c r="N16" s="151"/>
      <c r="O16" s="82"/>
      <c r="P16" s="150"/>
      <c r="Q16" s="150"/>
      <c r="R16" s="150"/>
      <c r="S16" s="150"/>
      <c r="T16" s="150"/>
      <c r="U16" s="150"/>
      <c r="V16" s="150"/>
      <c r="W16" s="150"/>
      <c r="X16" s="150"/>
      <c r="Y16" s="150"/>
      <c r="Z16" s="150"/>
      <c r="AA16" s="150"/>
      <c r="AC16" s="28"/>
      <c r="AD16" s="28"/>
      <c r="AE16" s="28"/>
      <c r="AF16" s="28"/>
      <c r="AG16" s="28"/>
      <c r="AH16" s="28"/>
      <c r="AI16" s="28"/>
      <c r="AJ16" s="28"/>
      <c r="AK16" s="28"/>
      <c r="AL16" s="28"/>
      <c r="AM16" s="28"/>
    </row>
    <row r="17" spans="1:39" ht="18" customHeight="1" x14ac:dyDescent="0.2">
      <c r="A17" s="81"/>
      <c r="B17" s="157"/>
      <c r="C17" s="79"/>
      <c r="D17" s="79"/>
      <c r="E17" s="79"/>
      <c r="F17" s="79"/>
      <c r="G17" s="80"/>
      <c r="H17" s="80"/>
      <c r="I17" s="80"/>
      <c r="J17" s="80"/>
      <c r="K17" s="80"/>
      <c r="L17" s="80"/>
      <c r="M17" s="80"/>
      <c r="N17" s="80"/>
      <c r="O17" s="82"/>
      <c r="P17" s="79"/>
      <c r="Q17" s="79"/>
      <c r="R17" s="79"/>
      <c r="S17" s="79"/>
      <c r="T17" s="79"/>
      <c r="U17" s="79"/>
      <c r="V17" s="79"/>
      <c r="W17" s="79"/>
      <c r="X17" s="79"/>
      <c r="Y17" s="79"/>
      <c r="Z17" s="79"/>
      <c r="AA17" s="79"/>
      <c r="AC17" s="28"/>
      <c r="AD17" s="28"/>
      <c r="AE17" s="28"/>
      <c r="AF17" s="28"/>
      <c r="AG17" s="28"/>
      <c r="AH17" s="28"/>
      <c r="AI17" s="28"/>
      <c r="AJ17" s="28"/>
      <c r="AK17" s="28"/>
      <c r="AL17" s="28"/>
      <c r="AM17" s="28"/>
    </row>
    <row r="18" spans="1:39" ht="18" customHeight="1" x14ac:dyDescent="0.2">
      <c r="A18" s="81"/>
      <c r="B18" s="157"/>
      <c r="C18" s="79"/>
      <c r="D18" s="79"/>
      <c r="E18" s="79"/>
      <c r="F18" s="79"/>
      <c r="G18" s="80"/>
      <c r="H18" s="80"/>
      <c r="I18" s="80"/>
      <c r="J18" s="80"/>
      <c r="K18" s="80"/>
      <c r="L18" s="80"/>
      <c r="M18" s="80"/>
      <c r="N18" s="80"/>
      <c r="O18" s="82"/>
      <c r="P18" s="79"/>
      <c r="Q18" s="79"/>
      <c r="R18" s="79"/>
      <c r="S18" s="79"/>
      <c r="T18" s="79"/>
      <c r="U18" s="79"/>
      <c r="V18" s="79"/>
      <c r="W18" s="79"/>
      <c r="X18" s="79"/>
      <c r="Y18" s="79"/>
      <c r="Z18" s="79"/>
      <c r="AA18" s="79"/>
      <c r="AC18" s="28"/>
      <c r="AD18" s="28"/>
      <c r="AE18" s="28"/>
      <c r="AF18" s="28"/>
      <c r="AG18" s="28"/>
      <c r="AH18" s="28"/>
      <c r="AI18" s="28"/>
      <c r="AJ18" s="28"/>
      <c r="AK18" s="28"/>
      <c r="AL18" s="28"/>
      <c r="AM18" s="28"/>
    </row>
    <row r="19" spans="1:39" ht="18" customHeight="1" x14ac:dyDescent="0.2">
      <c r="A19" s="81"/>
      <c r="B19" s="157"/>
      <c r="C19" s="79"/>
      <c r="D19" s="79"/>
      <c r="E19" s="79"/>
      <c r="F19" s="79"/>
      <c r="G19" s="80"/>
      <c r="H19" s="80"/>
      <c r="I19" s="80"/>
      <c r="J19" s="80"/>
      <c r="K19" s="80"/>
      <c r="L19" s="80"/>
      <c r="M19" s="80"/>
      <c r="N19" s="80"/>
      <c r="O19" s="82"/>
      <c r="P19" s="79"/>
      <c r="Q19" s="79"/>
      <c r="R19" s="79"/>
      <c r="S19" s="79"/>
      <c r="T19" s="79"/>
      <c r="U19" s="79"/>
      <c r="V19" s="79"/>
      <c r="W19" s="79"/>
      <c r="X19" s="79"/>
      <c r="Y19" s="79"/>
      <c r="Z19" s="79"/>
      <c r="AA19" s="79"/>
      <c r="AC19" s="28"/>
      <c r="AD19" s="28"/>
      <c r="AE19" s="28"/>
      <c r="AF19" s="28"/>
      <c r="AG19" s="28"/>
      <c r="AH19" s="28"/>
      <c r="AI19" s="28"/>
      <c r="AJ19" s="28"/>
      <c r="AK19" s="28"/>
      <c r="AL19" s="28"/>
      <c r="AM19" s="28"/>
    </row>
    <row r="20" spans="1:39" ht="18" customHeight="1" x14ac:dyDescent="0.2">
      <c r="A20" s="81"/>
      <c r="B20" s="157"/>
      <c r="C20" s="79"/>
      <c r="D20" s="79"/>
      <c r="E20" s="79"/>
      <c r="F20" s="79"/>
      <c r="G20" s="80"/>
      <c r="H20" s="80"/>
      <c r="I20" s="80"/>
      <c r="J20" s="80"/>
      <c r="K20" s="80"/>
      <c r="L20" s="80"/>
      <c r="M20" s="80"/>
      <c r="N20" s="80"/>
      <c r="O20" s="82"/>
      <c r="P20" s="79"/>
      <c r="Q20" s="79"/>
      <c r="R20" s="79"/>
      <c r="S20" s="79"/>
      <c r="T20" s="79"/>
      <c r="U20" s="79"/>
      <c r="V20" s="79"/>
      <c r="W20" s="79"/>
      <c r="X20" s="79"/>
      <c r="Y20" s="79"/>
      <c r="Z20" s="79"/>
      <c r="AA20" s="79"/>
      <c r="AC20" s="28"/>
      <c r="AD20" s="28"/>
      <c r="AE20" s="28"/>
      <c r="AF20" s="28"/>
      <c r="AG20" s="28"/>
      <c r="AH20" s="28"/>
      <c r="AI20" s="28"/>
      <c r="AJ20" s="28"/>
      <c r="AK20" s="28"/>
      <c r="AL20" s="28"/>
      <c r="AM20" s="28"/>
    </row>
    <row r="21" spans="1:39" ht="18" customHeight="1" x14ac:dyDescent="0.2">
      <c r="A21" s="81"/>
      <c r="B21" s="157"/>
      <c r="C21" s="79"/>
      <c r="D21" s="79"/>
      <c r="E21" s="79"/>
      <c r="F21" s="79"/>
      <c r="G21" s="80"/>
      <c r="H21" s="80"/>
      <c r="I21" s="80"/>
      <c r="J21" s="80"/>
      <c r="K21" s="80"/>
      <c r="L21" s="80"/>
      <c r="M21" s="80"/>
      <c r="N21" s="80"/>
      <c r="O21" s="82"/>
      <c r="P21" s="79"/>
      <c r="Q21" s="79"/>
      <c r="R21" s="79"/>
      <c r="S21" s="79"/>
      <c r="T21" s="79"/>
      <c r="U21" s="79"/>
      <c r="V21" s="79"/>
      <c r="W21" s="79"/>
      <c r="X21" s="79"/>
      <c r="Y21" s="79"/>
      <c r="Z21" s="79"/>
      <c r="AA21" s="79"/>
      <c r="AC21" s="28"/>
      <c r="AD21" s="28"/>
      <c r="AE21" s="28"/>
      <c r="AF21" s="28"/>
      <c r="AG21" s="28"/>
      <c r="AH21" s="28"/>
      <c r="AI21" s="28"/>
      <c r="AJ21" s="28"/>
      <c r="AK21" s="28"/>
      <c r="AL21" s="28"/>
      <c r="AM21" s="28"/>
    </row>
    <row r="22" spans="1:39" ht="18" customHeight="1" x14ac:dyDescent="0.2">
      <c r="A22" s="81"/>
      <c r="B22" s="157"/>
      <c r="C22" s="79"/>
      <c r="D22" s="79"/>
      <c r="E22" s="79"/>
      <c r="F22" s="79"/>
      <c r="G22" s="80"/>
      <c r="H22" s="80"/>
      <c r="I22" s="80"/>
      <c r="J22" s="80"/>
      <c r="K22" s="80"/>
      <c r="L22" s="80"/>
      <c r="M22" s="80"/>
      <c r="N22" s="80"/>
      <c r="O22" s="82"/>
      <c r="P22" s="79"/>
      <c r="Q22" s="79"/>
      <c r="R22" s="79"/>
      <c r="S22" s="79"/>
      <c r="T22" s="79"/>
      <c r="U22" s="79"/>
      <c r="V22" s="79"/>
      <c r="W22" s="79"/>
      <c r="X22" s="79"/>
      <c r="Y22" s="79"/>
      <c r="Z22" s="79"/>
      <c r="AA22" s="79"/>
      <c r="AC22" s="28"/>
      <c r="AD22" s="28"/>
      <c r="AE22" s="28"/>
      <c r="AF22" s="28"/>
      <c r="AG22" s="28"/>
      <c r="AH22" s="28"/>
      <c r="AI22" s="28"/>
      <c r="AJ22" s="28"/>
      <c r="AK22" s="28"/>
      <c r="AL22" s="28"/>
      <c r="AM22" s="28"/>
    </row>
    <row r="23" spans="1:39" ht="18" customHeight="1" x14ac:dyDescent="0.2">
      <c r="A23" s="81"/>
      <c r="B23" s="157"/>
      <c r="C23" s="83"/>
      <c r="D23" s="83"/>
      <c r="E23" s="83"/>
      <c r="F23" s="83"/>
      <c r="G23" s="84"/>
      <c r="H23" s="84"/>
      <c r="I23" s="84"/>
      <c r="J23" s="84"/>
      <c r="K23" s="84"/>
      <c r="L23" s="84"/>
      <c r="M23" s="84"/>
      <c r="N23" s="84"/>
      <c r="O23" s="85"/>
      <c r="P23" s="83"/>
      <c r="Q23" s="83"/>
      <c r="R23" s="83"/>
      <c r="S23" s="83"/>
      <c r="T23" s="83"/>
      <c r="U23" s="83"/>
      <c r="V23" s="83"/>
      <c r="W23" s="83"/>
      <c r="X23" s="83"/>
      <c r="Y23" s="83"/>
      <c r="Z23" s="83"/>
      <c r="AA23" s="83"/>
      <c r="AC23" s="28"/>
      <c r="AD23" s="28"/>
      <c r="AE23" s="28"/>
      <c r="AF23" s="28"/>
      <c r="AG23" s="28"/>
      <c r="AH23" s="28"/>
      <c r="AI23" s="28"/>
      <c r="AJ23" s="28"/>
      <c r="AK23" s="28"/>
      <c r="AL23" s="28"/>
      <c r="AM23" s="28"/>
    </row>
    <row r="24" spans="1:39" ht="18" customHeight="1" x14ac:dyDescent="0.2">
      <c r="A24" s="81"/>
      <c r="B24" s="157"/>
      <c r="C24" s="83"/>
      <c r="D24" s="83"/>
      <c r="E24" s="83"/>
      <c r="F24" s="83"/>
      <c r="G24" s="84"/>
      <c r="H24" s="84"/>
      <c r="I24" s="84"/>
      <c r="J24" s="84"/>
      <c r="K24" s="84"/>
      <c r="L24" s="84"/>
      <c r="M24" s="84"/>
      <c r="N24" s="84"/>
      <c r="O24" s="85"/>
      <c r="P24" s="83"/>
      <c r="Q24" s="83"/>
      <c r="R24" s="83"/>
      <c r="S24" s="83"/>
      <c r="T24" s="83"/>
      <c r="U24" s="83"/>
      <c r="V24" s="83"/>
      <c r="W24" s="83"/>
      <c r="X24" s="83"/>
      <c r="Y24" s="83"/>
      <c r="Z24" s="83"/>
      <c r="AA24" s="83"/>
      <c r="AC24" s="28"/>
      <c r="AD24" s="28"/>
      <c r="AE24" s="28"/>
      <c r="AF24" s="28"/>
      <c r="AG24" s="28"/>
      <c r="AH24" s="28"/>
      <c r="AI24" s="28"/>
      <c r="AJ24" s="28"/>
      <c r="AK24" s="28"/>
      <c r="AL24" s="28"/>
      <c r="AM24" s="28"/>
    </row>
    <row r="25" spans="1:39" ht="18" customHeight="1" x14ac:dyDescent="0.15">
      <c r="A25" s="68"/>
      <c r="B25" s="157"/>
      <c r="C25" s="83"/>
      <c r="D25" s="83"/>
      <c r="E25" s="83"/>
      <c r="F25" s="83"/>
      <c r="G25" s="84"/>
      <c r="H25" s="84"/>
      <c r="I25" s="84"/>
      <c r="J25" s="84"/>
      <c r="K25" s="84"/>
      <c r="L25" s="84"/>
      <c r="M25" s="84"/>
      <c r="N25" s="84"/>
      <c r="O25" s="85"/>
      <c r="P25" s="83"/>
      <c r="Q25" s="83"/>
      <c r="R25" s="83"/>
      <c r="S25" s="83"/>
      <c r="T25" s="83"/>
      <c r="U25" s="83"/>
      <c r="V25" s="83"/>
      <c r="W25" s="83"/>
      <c r="X25" s="83"/>
      <c r="Y25" s="83"/>
      <c r="Z25" s="83"/>
      <c r="AA25" s="83"/>
      <c r="AB25" s="86"/>
      <c r="AC25" s="28"/>
      <c r="AD25" s="28"/>
      <c r="AE25" s="28"/>
      <c r="AF25" s="28"/>
      <c r="AG25" s="28"/>
      <c r="AH25" s="28"/>
      <c r="AI25" s="28"/>
      <c r="AJ25" s="28"/>
      <c r="AK25" s="28"/>
      <c r="AL25" s="28"/>
      <c r="AM25" s="28"/>
    </row>
    <row r="26" spans="1:39" ht="18" customHeight="1" x14ac:dyDescent="0.15">
      <c r="B26" s="157"/>
      <c r="C26" s="83"/>
      <c r="D26" s="83"/>
      <c r="E26" s="83"/>
      <c r="F26" s="83"/>
      <c r="G26" s="84"/>
      <c r="H26" s="84"/>
      <c r="I26" s="84"/>
      <c r="J26" s="84"/>
      <c r="K26" s="84"/>
      <c r="L26" s="84"/>
      <c r="M26" s="84"/>
      <c r="N26" s="84"/>
      <c r="O26" s="85"/>
      <c r="P26" s="83"/>
      <c r="Q26" s="83"/>
      <c r="R26" s="83"/>
      <c r="S26" s="83"/>
      <c r="T26" s="83"/>
      <c r="U26" s="83"/>
      <c r="V26" s="83"/>
      <c r="W26" s="83"/>
      <c r="X26" s="83"/>
      <c r="Y26" s="83"/>
      <c r="Z26" s="83"/>
      <c r="AA26" s="83"/>
      <c r="AC26" s="28"/>
      <c r="AD26" s="28"/>
      <c r="AE26" s="28"/>
      <c r="AF26" s="28"/>
      <c r="AG26" s="28"/>
      <c r="AH26" s="28"/>
      <c r="AI26" s="28"/>
      <c r="AJ26" s="28"/>
      <c r="AK26" s="28"/>
      <c r="AL26" s="28"/>
      <c r="AM26" s="28"/>
    </row>
    <row r="27" spans="1:39" ht="18" customHeight="1" x14ac:dyDescent="0.15">
      <c r="A27" s="68"/>
      <c r="B27" s="157"/>
      <c r="C27" s="83"/>
      <c r="D27" s="83"/>
      <c r="E27" s="83"/>
      <c r="F27" s="83"/>
      <c r="G27" s="84"/>
      <c r="H27" s="84"/>
      <c r="I27" s="84"/>
      <c r="J27" s="84"/>
      <c r="K27" s="84"/>
      <c r="L27" s="84"/>
      <c r="M27" s="84"/>
      <c r="N27" s="84"/>
      <c r="O27" s="85"/>
      <c r="P27" s="83"/>
      <c r="Q27" s="83"/>
      <c r="R27" s="83"/>
      <c r="S27" s="83"/>
      <c r="T27" s="83"/>
      <c r="U27" s="83"/>
      <c r="V27" s="83"/>
      <c r="W27" s="83"/>
      <c r="X27" s="83"/>
      <c r="Y27" s="83"/>
      <c r="Z27" s="83"/>
      <c r="AA27" s="83"/>
      <c r="AB27" s="86"/>
      <c r="AC27" s="28"/>
      <c r="AD27" s="28"/>
      <c r="AE27" s="28"/>
      <c r="AF27" s="28"/>
      <c r="AG27" s="28"/>
      <c r="AH27" s="28"/>
      <c r="AI27" s="28"/>
      <c r="AJ27" s="28"/>
      <c r="AK27" s="28"/>
      <c r="AL27" s="28"/>
      <c r="AM27" s="28"/>
    </row>
    <row r="28" spans="1:39" ht="15.75" customHeight="1" x14ac:dyDescent="0.15">
      <c r="C28" s="206" t="s">
        <v>58</v>
      </c>
      <c r="D28" s="206"/>
      <c r="E28" s="206"/>
      <c r="F28" s="206"/>
      <c r="G28" s="206"/>
      <c r="H28" s="206"/>
      <c r="I28" s="206"/>
      <c r="J28" s="206"/>
      <c r="K28" s="206"/>
      <c r="L28" s="206"/>
      <c r="M28" s="206"/>
      <c r="N28" s="69"/>
      <c r="O28" s="70"/>
      <c r="P28" s="212" t="s">
        <v>41</v>
      </c>
      <c r="Q28" s="212"/>
      <c r="R28" s="212"/>
      <c r="S28" s="212"/>
      <c r="T28" s="212"/>
      <c r="U28" s="212"/>
      <c r="V28" s="212"/>
      <c r="W28" s="212"/>
      <c r="X28" s="212"/>
      <c r="Y28" s="212"/>
      <c r="Z28" s="212"/>
      <c r="AA28" s="87"/>
      <c r="AC28" s="28"/>
      <c r="AD28" s="28"/>
      <c r="AE28" s="28"/>
      <c r="AF28" s="28"/>
      <c r="AG28" s="28"/>
      <c r="AH28" s="28"/>
      <c r="AI28" s="28"/>
      <c r="AJ28" s="28"/>
      <c r="AK28" s="28"/>
      <c r="AL28" s="28"/>
      <c r="AM28" s="28"/>
    </row>
    <row r="29" spans="1:39" ht="15.75" customHeight="1" x14ac:dyDescent="0.15">
      <c r="C29" s="209" t="s">
        <v>42</v>
      </c>
      <c r="D29" s="208"/>
      <c r="E29" s="208"/>
      <c r="F29" s="72"/>
      <c r="G29" s="209" t="s">
        <v>43</v>
      </c>
      <c r="H29" s="208"/>
      <c r="I29" s="208"/>
      <c r="J29" s="72"/>
      <c r="K29" s="207" t="s">
        <v>44</v>
      </c>
      <c r="L29" s="208"/>
      <c r="M29" s="208"/>
      <c r="N29" s="73"/>
      <c r="O29" s="70"/>
      <c r="P29" s="204" t="s">
        <v>42</v>
      </c>
      <c r="Q29" s="205"/>
      <c r="R29" s="205"/>
      <c r="S29" s="88"/>
      <c r="T29" s="210" t="s">
        <v>45</v>
      </c>
      <c r="U29" s="205"/>
      <c r="V29" s="205"/>
      <c r="W29" s="88"/>
      <c r="X29" s="204" t="s">
        <v>46</v>
      </c>
      <c r="Y29" s="205"/>
      <c r="Z29" s="205"/>
      <c r="AA29" s="73"/>
      <c r="AC29" s="28"/>
      <c r="AD29" s="28"/>
      <c r="AE29" s="28"/>
      <c r="AF29" s="28"/>
      <c r="AG29" s="28"/>
      <c r="AH29" s="28"/>
      <c r="AI29" s="28"/>
      <c r="AJ29" s="28"/>
      <c r="AK29" s="28"/>
      <c r="AL29" s="28"/>
      <c r="AM29" s="28"/>
    </row>
    <row r="30" spans="1:39" ht="27" customHeight="1" x14ac:dyDescent="0.2">
      <c r="A30" s="74"/>
      <c r="B30" s="156" t="s">
        <v>47</v>
      </c>
      <c r="C30" s="75" t="s">
        <v>48</v>
      </c>
      <c r="D30" s="76" t="s">
        <v>49</v>
      </c>
      <c r="E30" s="76" t="s">
        <v>50</v>
      </c>
      <c r="F30" s="76" t="s">
        <v>51</v>
      </c>
      <c r="G30" s="75" t="s">
        <v>48</v>
      </c>
      <c r="H30" s="76" t="s">
        <v>49</v>
      </c>
      <c r="I30" s="76" t="s">
        <v>50</v>
      </c>
      <c r="J30" s="76" t="s">
        <v>51</v>
      </c>
      <c r="K30" s="75" t="s">
        <v>48</v>
      </c>
      <c r="L30" s="76" t="s">
        <v>49</v>
      </c>
      <c r="M30" s="76" t="s">
        <v>50</v>
      </c>
      <c r="N30" s="77" t="s">
        <v>51</v>
      </c>
      <c r="O30" s="78"/>
      <c r="P30" s="89" t="s">
        <v>48</v>
      </c>
      <c r="Q30" s="90" t="s">
        <v>49</v>
      </c>
      <c r="R30" s="90" t="s">
        <v>50</v>
      </c>
      <c r="S30" s="76" t="s">
        <v>51</v>
      </c>
      <c r="T30" s="89" t="s">
        <v>48</v>
      </c>
      <c r="U30" s="90" t="s">
        <v>49</v>
      </c>
      <c r="V30" s="90" t="s">
        <v>50</v>
      </c>
      <c r="W30" s="76" t="s">
        <v>51</v>
      </c>
      <c r="X30" s="89" t="s">
        <v>48</v>
      </c>
      <c r="Y30" s="90" t="s">
        <v>49</v>
      </c>
      <c r="Z30" s="90" t="s">
        <v>50</v>
      </c>
      <c r="AA30" s="77" t="s">
        <v>51</v>
      </c>
      <c r="AC30" s="28"/>
      <c r="AD30" s="28"/>
      <c r="AE30" s="28"/>
      <c r="AF30" s="28"/>
      <c r="AG30" s="28"/>
      <c r="AH30" s="28"/>
      <c r="AI30" s="28"/>
      <c r="AJ30" s="28"/>
      <c r="AK30" s="28"/>
      <c r="AL30" s="28"/>
      <c r="AM30" s="28"/>
    </row>
    <row r="31" spans="1:39" ht="18" customHeight="1" x14ac:dyDescent="0.2">
      <c r="A31" s="81"/>
      <c r="B31" s="137" t="s">
        <v>52</v>
      </c>
      <c r="C31" s="138">
        <v>39.603343321117897</v>
      </c>
      <c r="D31" s="150">
        <v>22.462293744518998</v>
      </c>
      <c r="E31" s="150">
        <v>0</v>
      </c>
      <c r="F31" s="150">
        <v>62.065637065636999</v>
      </c>
      <c r="G31" s="139">
        <v>403.21847238020098</v>
      </c>
      <c r="H31" s="151">
        <v>497.87936535371199</v>
      </c>
      <c r="I31" s="151">
        <v>0</v>
      </c>
      <c r="J31" s="151">
        <v>437.477377703944</v>
      </c>
      <c r="K31" s="139">
        <v>159.687995950898</v>
      </c>
      <c r="L31" s="151">
        <v>111.835125539098</v>
      </c>
      <c r="M31" s="151">
        <v>0</v>
      </c>
      <c r="N31" s="151">
        <v>271.52312148999602</v>
      </c>
      <c r="O31" s="140"/>
      <c r="P31" s="138">
        <v>24.111611775479901</v>
      </c>
      <c r="Q31" s="150">
        <v>-12.8066574733989</v>
      </c>
      <c r="R31" s="150">
        <v>0</v>
      </c>
      <c r="S31" s="150">
        <v>7.6203037148868704</v>
      </c>
      <c r="T31" s="138">
        <v>14.6374523899499</v>
      </c>
      <c r="U31" s="150">
        <v>8.0638353597018195</v>
      </c>
      <c r="V31" s="150">
        <v>0</v>
      </c>
      <c r="W31" s="150">
        <v>9.2544184645338898</v>
      </c>
      <c r="X31" s="138">
        <v>42.2783898595154</v>
      </c>
      <c r="Y31" s="150">
        <v>-5.7755298874329899</v>
      </c>
      <c r="Z31" s="150">
        <v>0</v>
      </c>
      <c r="AA31" s="150">
        <v>17.5799369734648</v>
      </c>
      <c r="AB31" s="141"/>
      <c r="AC31" s="28"/>
      <c r="AD31" s="28"/>
      <c r="AE31" s="28"/>
      <c r="AF31" s="28"/>
      <c r="AG31" s="28"/>
      <c r="AH31" s="28"/>
      <c r="AI31" s="28"/>
      <c r="AJ31" s="28"/>
      <c r="AK31" s="28"/>
      <c r="AL31" s="28"/>
      <c r="AM31" s="28"/>
    </row>
    <row r="32" spans="1:39" ht="18" customHeight="1" x14ac:dyDescent="0.2">
      <c r="A32" s="81"/>
      <c r="B32" s="142" t="s">
        <v>53</v>
      </c>
      <c r="C32" s="143">
        <v>47.335579037266903</v>
      </c>
      <c r="D32" s="144">
        <v>22.761983775352501</v>
      </c>
      <c r="E32" s="144">
        <v>2.88466844622062</v>
      </c>
      <c r="F32" s="144">
        <v>72.982231258840102</v>
      </c>
      <c r="G32" s="145">
        <v>335.94886445787</v>
      </c>
      <c r="H32" s="146">
        <v>293.505339929667</v>
      </c>
      <c r="I32" s="146">
        <v>498.455786528121</v>
      </c>
      <c r="J32" s="146">
        <v>329.13459997577399</v>
      </c>
      <c r="K32" s="145">
        <v>159.02334026025599</v>
      </c>
      <c r="L32" s="146">
        <v>66.8076378545843</v>
      </c>
      <c r="M32" s="146">
        <v>14.3787967923375</v>
      </c>
      <c r="N32" s="146">
        <v>240.209774907178</v>
      </c>
      <c r="O32" s="140"/>
      <c r="P32" s="143">
        <v>3.9963459624291602</v>
      </c>
      <c r="Q32" s="144">
        <v>18.394213692735299</v>
      </c>
      <c r="R32" s="144">
        <v>-31.184064868302102</v>
      </c>
      <c r="S32" s="144">
        <v>5.8725757369759499</v>
      </c>
      <c r="T32" s="143">
        <v>2.28196176916178</v>
      </c>
      <c r="U32" s="144">
        <v>-5.5382744059041098</v>
      </c>
      <c r="V32" s="144">
        <v>9.1356767255143492</v>
      </c>
      <c r="W32" s="144">
        <v>-0.65554013033626601</v>
      </c>
      <c r="X32" s="143">
        <v>6.3695028186170202</v>
      </c>
      <c r="Y32" s="144">
        <v>11.8372172577192</v>
      </c>
      <c r="Z32" s="144">
        <v>-24.897263499030601</v>
      </c>
      <c r="AA32" s="144">
        <v>5.1785385159994197</v>
      </c>
      <c r="AB32" s="141"/>
      <c r="AC32" s="28"/>
      <c r="AD32" s="28"/>
      <c r="AE32" s="28"/>
      <c r="AF32" s="28"/>
      <c r="AG32" s="28"/>
      <c r="AH32" s="28"/>
      <c r="AI32" s="28"/>
      <c r="AJ32" s="28"/>
      <c r="AK32" s="28"/>
      <c r="AL32" s="28"/>
      <c r="AM32" s="28"/>
    </row>
    <row r="33" spans="1:39" ht="18" customHeight="1" x14ac:dyDescent="0.2">
      <c r="A33" s="81"/>
      <c r="B33" s="147" t="s">
        <v>54</v>
      </c>
      <c r="C33" s="148">
        <v>52.7961858007329</v>
      </c>
      <c r="D33" s="79">
        <v>24.273328815009499</v>
      </c>
      <c r="E33" s="79">
        <v>2.40359827915274E-2</v>
      </c>
      <c r="F33" s="79">
        <v>77.093550598533895</v>
      </c>
      <c r="G33" s="149">
        <v>316.791960357969</v>
      </c>
      <c r="H33" s="80">
        <v>281.98653468418701</v>
      </c>
      <c r="I33" s="80">
        <v>582.21965034471805</v>
      </c>
      <c r="J33" s="80">
        <v>305.91603468030098</v>
      </c>
      <c r="K33" s="149">
        <v>167.25407199237699</v>
      </c>
      <c r="L33" s="80">
        <v>68.447518777943699</v>
      </c>
      <c r="M33" s="80">
        <v>0.13994221496574699</v>
      </c>
      <c r="N33" s="80">
        <v>235.84153298528699</v>
      </c>
      <c r="O33" s="140"/>
      <c r="P33" s="148">
        <v>-8.1225905715229292</v>
      </c>
      <c r="Q33" s="79">
        <v>48.9616200353476</v>
      </c>
      <c r="R33" s="79">
        <v>119.62536039530499</v>
      </c>
      <c r="S33" s="79">
        <v>4.5057190535277298</v>
      </c>
      <c r="T33" s="148">
        <v>18.20262656009</v>
      </c>
      <c r="U33" s="79">
        <v>-3.1013009033351202</v>
      </c>
      <c r="V33" s="79">
        <v>34.122502730943097</v>
      </c>
      <c r="W33" s="79">
        <v>12.0105536999799</v>
      </c>
      <c r="X33" s="148">
        <v>8.6015111598277496</v>
      </c>
      <c r="Y33" s="79">
        <v>44.3418719675687</v>
      </c>
      <c r="Z33" s="79">
        <v>194.567029994037</v>
      </c>
      <c r="AA33" s="79">
        <v>17.057434560001798</v>
      </c>
      <c r="AB33" s="141"/>
      <c r="AC33" s="28"/>
      <c r="AD33" s="28"/>
      <c r="AE33" s="28"/>
      <c r="AF33" s="28"/>
      <c r="AG33" s="28"/>
      <c r="AH33" s="28"/>
      <c r="AI33" s="28"/>
      <c r="AJ33" s="28"/>
      <c r="AK33" s="28"/>
      <c r="AL33" s="28"/>
      <c r="AM33" s="28"/>
    </row>
    <row r="34" spans="1:39" ht="18" customHeight="1" x14ac:dyDescent="0.2">
      <c r="A34" s="81"/>
      <c r="B34" s="142" t="s">
        <v>55</v>
      </c>
      <c r="C34" s="143">
        <v>63.750278342822099</v>
      </c>
      <c r="D34" s="144">
        <v>10.5752974051995</v>
      </c>
      <c r="E34" s="144">
        <v>2.4254457614995202</v>
      </c>
      <c r="F34" s="144">
        <v>76.751021509521195</v>
      </c>
      <c r="G34" s="145">
        <v>287.41508906716803</v>
      </c>
      <c r="H34" s="146">
        <v>266.39694009867401</v>
      </c>
      <c r="I34" s="146">
        <v>176.07129195838601</v>
      </c>
      <c r="J34" s="146">
        <v>281.00043155079499</v>
      </c>
      <c r="K34" s="145">
        <v>183.22791927959</v>
      </c>
      <c r="L34" s="146">
        <v>28.172268693785998</v>
      </c>
      <c r="M34" s="146">
        <v>4.2705136880221399</v>
      </c>
      <c r="N34" s="146">
        <v>215.670701661398</v>
      </c>
      <c r="O34" s="140"/>
      <c r="P34" s="143">
        <v>5.7318597917610603</v>
      </c>
      <c r="Q34" s="144">
        <v>1.3000383676665099</v>
      </c>
      <c r="R34" s="144">
        <v>24.5419310483482</v>
      </c>
      <c r="S34" s="144">
        <v>5.5993105277114799</v>
      </c>
      <c r="T34" s="143">
        <v>7.06560076517352</v>
      </c>
      <c r="U34" s="144">
        <v>-6.1525516949529298</v>
      </c>
      <c r="V34" s="144">
        <v>8.2554281625870907</v>
      </c>
      <c r="W34" s="144">
        <v>4.9187729941113796</v>
      </c>
      <c r="X34" s="143">
        <v>13.2024508862399</v>
      </c>
      <c r="Y34" s="144">
        <v>-4.9324988599113198</v>
      </c>
      <c r="Z34" s="144">
        <v>34.823400698343299</v>
      </c>
      <c r="AA34" s="144">
        <v>10.793500895916299</v>
      </c>
      <c r="AB34" s="141"/>
      <c r="AC34" s="28"/>
      <c r="AD34" s="28"/>
      <c r="AE34" s="28"/>
      <c r="AF34" s="28"/>
      <c r="AG34" s="28"/>
      <c r="AH34" s="28"/>
      <c r="AI34" s="28"/>
      <c r="AJ34" s="28"/>
      <c r="AK34" s="28"/>
      <c r="AL34" s="28"/>
      <c r="AM34" s="28"/>
    </row>
    <row r="35" spans="1:39" ht="18" customHeight="1" x14ac:dyDescent="0.2">
      <c r="A35" s="81"/>
      <c r="B35" s="147" t="s">
        <v>56</v>
      </c>
      <c r="C35" s="148">
        <v>55.1856625851769</v>
      </c>
      <c r="D35" s="79">
        <v>20.258129580457201</v>
      </c>
      <c r="E35" s="79">
        <v>0.96727762215845003</v>
      </c>
      <c r="F35" s="79">
        <v>76.411069787792599</v>
      </c>
      <c r="G35" s="149">
        <v>279.81035557802102</v>
      </c>
      <c r="H35" s="80">
        <v>247.26840098065199</v>
      </c>
      <c r="I35" s="80">
        <v>134.18147067799501</v>
      </c>
      <c r="J35" s="80">
        <v>269.33932439418101</v>
      </c>
      <c r="K35" s="149">
        <v>154.41519870766999</v>
      </c>
      <c r="L35" s="80">
        <v>50.091953082185199</v>
      </c>
      <c r="M35" s="80">
        <v>1.29790733895135</v>
      </c>
      <c r="N35" s="80">
        <v>205.80505912880699</v>
      </c>
      <c r="O35" s="140"/>
      <c r="P35" s="148">
        <v>-3.2191890637905201</v>
      </c>
      <c r="Q35" s="79">
        <v>6.9714172192614203</v>
      </c>
      <c r="R35" s="79">
        <v>1.6423396391705201</v>
      </c>
      <c r="S35" s="79">
        <v>-0.64978415726855199</v>
      </c>
      <c r="T35" s="148">
        <v>9.05788846405909</v>
      </c>
      <c r="U35" s="79">
        <v>8.3496748102853093</v>
      </c>
      <c r="V35" s="79">
        <v>-4.1329944159925001</v>
      </c>
      <c r="W35" s="79">
        <v>8.5409897823625407</v>
      </c>
      <c r="X35" s="148">
        <v>5.5471088454232298</v>
      </c>
      <c r="Y35" s="79">
        <v>15.903182697023301</v>
      </c>
      <c r="Z35" s="79">
        <v>-2.5585325824005198</v>
      </c>
      <c r="AA35" s="79">
        <v>7.83570762661427</v>
      </c>
      <c r="AB35" s="141"/>
      <c r="AC35" s="28"/>
      <c r="AD35" s="28"/>
      <c r="AE35" s="28"/>
      <c r="AF35" s="28"/>
      <c r="AG35" s="28"/>
      <c r="AH35" s="28"/>
      <c r="AI35" s="28"/>
      <c r="AJ35" s="28"/>
      <c r="AK35" s="28"/>
      <c r="AL35" s="28"/>
      <c r="AM35" s="28"/>
    </row>
    <row r="36" spans="1:39" ht="18" customHeight="1" x14ac:dyDescent="0.2">
      <c r="A36" s="81"/>
      <c r="B36" s="142" t="s">
        <v>57</v>
      </c>
      <c r="C36" s="143">
        <v>48.969168182312103</v>
      </c>
      <c r="D36" s="144">
        <v>28.242640067941501</v>
      </c>
      <c r="E36" s="144">
        <v>0</v>
      </c>
      <c r="F36" s="144">
        <v>77.211808250253696</v>
      </c>
      <c r="G36" s="145">
        <v>242.31305661305899</v>
      </c>
      <c r="H36" s="146">
        <v>275.989590531717</v>
      </c>
      <c r="I36" s="146">
        <v>0</v>
      </c>
      <c r="J36" s="146">
        <v>254.63130491929999</v>
      </c>
      <c r="K36" s="145">
        <v>118.65868822055</v>
      </c>
      <c r="L36" s="146">
        <v>77.946746678858602</v>
      </c>
      <c r="M36" s="146">
        <v>0</v>
      </c>
      <c r="N36" s="146">
        <v>196.60543489940801</v>
      </c>
      <c r="O36" s="140"/>
      <c r="P36" s="143">
        <v>9.1988895425549604</v>
      </c>
      <c r="Q36" s="144">
        <v>6.27878995717397</v>
      </c>
      <c r="R36" s="144">
        <v>0</v>
      </c>
      <c r="S36" s="144">
        <v>8.1123440536643407</v>
      </c>
      <c r="T36" s="143">
        <v>3.3798462912442302</v>
      </c>
      <c r="U36" s="144">
        <v>4.6470616693483899</v>
      </c>
      <c r="V36" s="144">
        <v>0</v>
      </c>
      <c r="W36" s="144">
        <v>3.8001488033870099</v>
      </c>
      <c r="X36" s="143">
        <v>12.8896441608389</v>
      </c>
      <c r="Y36" s="144">
        <v>11.217630867921001</v>
      </c>
      <c r="Z36" s="144">
        <v>0</v>
      </c>
      <c r="AA36" s="144">
        <v>12.2207740025333</v>
      </c>
      <c r="AB36" s="141"/>
      <c r="AC36" s="28"/>
      <c r="AD36" s="28"/>
      <c r="AE36" s="28"/>
      <c r="AF36" s="28"/>
      <c r="AG36" s="28"/>
      <c r="AH36" s="28"/>
      <c r="AI36" s="28"/>
      <c r="AJ36" s="28"/>
      <c r="AK36" s="28"/>
      <c r="AL36" s="28"/>
      <c r="AM36" s="28"/>
    </row>
    <row r="37" spans="1:39" ht="18" customHeight="1" x14ac:dyDescent="0.2">
      <c r="A37" s="81"/>
      <c r="B37" s="152"/>
      <c r="C37" s="150"/>
      <c r="D37" s="150"/>
      <c r="E37" s="150"/>
      <c r="F37" s="150"/>
      <c r="G37" s="151"/>
      <c r="H37" s="151"/>
      <c r="I37" s="151"/>
      <c r="J37" s="151"/>
      <c r="K37" s="151"/>
      <c r="L37" s="151"/>
      <c r="M37" s="151"/>
      <c r="N37" s="151"/>
      <c r="O37" s="82"/>
      <c r="P37" s="150"/>
      <c r="Q37" s="150"/>
      <c r="R37" s="150"/>
      <c r="S37" s="150"/>
      <c r="T37" s="150"/>
      <c r="U37" s="150"/>
      <c r="V37" s="150"/>
      <c r="W37" s="150"/>
      <c r="X37" s="150"/>
      <c r="Y37" s="150"/>
      <c r="Z37" s="150"/>
      <c r="AA37" s="150"/>
      <c r="AC37" s="28"/>
      <c r="AD37" s="28"/>
      <c r="AE37" s="28"/>
      <c r="AF37" s="28"/>
      <c r="AG37" s="28"/>
      <c r="AH37" s="28"/>
      <c r="AI37" s="28"/>
      <c r="AJ37" s="28"/>
      <c r="AK37" s="28"/>
      <c r="AL37" s="28"/>
      <c r="AM37" s="28"/>
    </row>
    <row r="38" spans="1:39" ht="18" customHeight="1" x14ac:dyDescent="0.2">
      <c r="A38" s="81"/>
      <c r="B38" s="157"/>
      <c r="C38" s="79"/>
      <c r="D38" s="79"/>
      <c r="E38" s="79"/>
      <c r="F38" s="79"/>
      <c r="G38" s="80"/>
      <c r="H38" s="80"/>
      <c r="I38" s="80"/>
      <c r="J38" s="80"/>
      <c r="K38" s="80"/>
      <c r="L38" s="80"/>
      <c r="M38" s="80"/>
      <c r="N38" s="80"/>
      <c r="O38" s="82"/>
      <c r="P38" s="79"/>
      <c r="Q38" s="79"/>
      <c r="R38" s="79"/>
      <c r="S38" s="79"/>
      <c r="T38" s="79"/>
      <c r="U38" s="79"/>
      <c r="V38" s="79"/>
      <c r="W38" s="79"/>
      <c r="X38" s="79"/>
      <c r="Y38" s="79"/>
      <c r="Z38" s="79"/>
      <c r="AA38" s="79"/>
      <c r="AC38" s="28"/>
      <c r="AD38" s="28"/>
      <c r="AE38" s="28"/>
      <c r="AF38" s="28"/>
      <c r="AG38" s="28"/>
      <c r="AH38" s="28"/>
      <c r="AI38" s="28"/>
      <c r="AJ38" s="28"/>
      <c r="AK38" s="28"/>
      <c r="AL38" s="28"/>
      <c r="AM38" s="28"/>
    </row>
    <row r="39" spans="1:39" ht="18" customHeight="1" x14ac:dyDescent="0.2">
      <c r="A39" s="81"/>
      <c r="B39" s="157"/>
      <c r="C39" s="79"/>
      <c r="D39" s="79"/>
      <c r="E39" s="79"/>
      <c r="F39" s="79"/>
      <c r="G39" s="80"/>
      <c r="H39" s="80"/>
      <c r="I39" s="80"/>
      <c r="J39" s="80"/>
      <c r="K39" s="80"/>
      <c r="L39" s="80"/>
      <c r="M39" s="80"/>
      <c r="N39" s="80"/>
      <c r="O39" s="82"/>
      <c r="P39" s="79"/>
      <c r="Q39" s="79"/>
      <c r="R39" s="79"/>
      <c r="S39" s="79"/>
      <c r="T39" s="79"/>
      <c r="U39" s="79"/>
      <c r="V39" s="79"/>
      <c r="W39" s="79"/>
      <c r="X39" s="79"/>
      <c r="Y39" s="79"/>
      <c r="Z39" s="79"/>
      <c r="AA39" s="79"/>
      <c r="AC39" s="28"/>
      <c r="AD39" s="28"/>
      <c r="AE39" s="28"/>
      <c r="AF39" s="28"/>
      <c r="AG39" s="28"/>
      <c r="AH39" s="28"/>
      <c r="AI39" s="28"/>
      <c r="AJ39" s="28"/>
      <c r="AK39" s="28"/>
      <c r="AL39" s="28"/>
      <c r="AM39" s="28"/>
    </row>
    <row r="40" spans="1:39" ht="18" customHeight="1" x14ac:dyDescent="0.2">
      <c r="A40" s="81"/>
      <c r="B40" s="157"/>
      <c r="C40" s="79"/>
      <c r="D40" s="79"/>
      <c r="E40" s="79"/>
      <c r="F40" s="79"/>
      <c r="G40" s="80"/>
      <c r="H40" s="80"/>
      <c r="I40" s="80"/>
      <c r="J40" s="80"/>
      <c r="K40" s="80"/>
      <c r="L40" s="80"/>
      <c r="M40" s="80"/>
      <c r="N40" s="80"/>
      <c r="O40" s="82"/>
      <c r="P40" s="79"/>
      <c r="Q40" s="79"/>
      <c r="R40" s="79"/>
      <c r="S40" s="79"/>
      <c r="T40" s="79"/>
      <c r="U40" s="79"/>
      <c r="V40" s="79"/>
      <c r="W40" s="79"/>
      <c r="X40" s="79"/>
      <c r="Y40" s="79"/>
      <c r="Z40" s="79"/>
      <c r="AA40" s="79"/>
      <c r="AC40" s="28"/>
      <c r="AD40" s="28"/>
      <c r="AE40" s="28"/>
      <c r="AF40" s="28"/>
      <c r="AG40" s="28"/>
      <c r="AH40" s="28"/>
      <c r="AI40" s="28"/>
      <c r="AJ40" s="28"/>
      <c r="AK40" s="28"/>
      <c r="AL40" s="28"/>
      <c r="AM40" s="28"/>
    </row>
    <row r="41" spans="1:39" ht="18" customHeight="1" x14ac:dyDescent="0.2">
      <c r="A41" s="81"/>
      <c r="B41" s="157"/>
      <c r="C41" s="79"/>
      <c r="D41" s="79"/>
      <c r="E41" s="79"/>
      <c r="F41" s="79"/>
      <c r="G41" s="80"/>
      <c r="H41" s="80"/>
      <c r="I41" s="80"/>
      <c r="J41" s="80"/>
      <c r="K41" s="80"/>
      <c r="L41" s="80"/>
      <c r="M41" s="80"/>
      <c r="N41" s="80"/>
      <c r="O41" s="82"/>
      <c r="P41" s="79"/>
      <c r="Q41" s="79"/>
      <c r="R41" s="79"/>
      <c r="S41" s="79"/>
      <c r="T41" s="79"/>
      <c r="U41" s="79"/>
      <c r="V41" s="79"/>
      <c r="W41" s="79"/>
      <c r="X41" s="79"/>
      <c r="Y41" s="79"/>
      <c r="Z41" s="79"/>
      <c r="AA41" s="79"/>
      <c r="AC41" s="28"/>
      <c r="AD41" s="28"/>
      <c r="AE41" s="28"/>
      <c r="AF41" s="28"/>
      <c r="AG41" s="28"/>
      <c r="AH41" s="28"/>
      <c r="AI41" s="28"/>
      <c r="AJ41" s="28"/>
      <c r="AK41" s="28"/>
      <c r="AL41" s="28"/>
      <c r="AM41" s="28"/>
    </row>
    <row r="42" spans="1:39" ht="18" customHeight="1" x14ac:dyDescent="0.15">
      <c r="A42" s="68"/>
      <c r="B42" s="157"/>
      <c r="C42" s="79"/>
      <c r="D42" s="79"/>
      <c r="E42" s="79"/>
      <c r="F42" s="79"/>
      <c r="G42" s="80"/>
      <c r="H42" s="80"/>
      <c r="I42" s="80"/>
      <c r="J42" s="80"/>
      <c r="K42" s="80"/>
      <c r="L42" s="80"/>
      <c r="M42" s="80"/>
      <c r="N42" s="80"/>
      <c r="O42" s="82"/>
      <c r="P42" s="79"/>
      <c r="Q42" s="79"/>
      <c r="R42" s="79"/>
      <c r="S42" s="79"/>
      <c r="T42" s="79"/>
      <c r="U42" s="79"/>
      <c r="V42" s="79"/>
      <c r="W42" s="79"/>
      <c r="X42" s="79"/>
      <c r="Y42" s="79"/>
      <c r="Z42" s="79"/>
      <c r="AA42" s="79"/>
      <c r="AB42" s="86"/>
      <c r="AC42" s="28"/>
      <c r="AD42" s="28"/>
      <c r="AE42" s="28"/>
      <c r="AF42" s="28"/>
      <c r="AG42" s="28"/>
      <c r="AH42" s="28"/>
      <c r="AI42" s="28"/>
      <c r="AJ42" s="28"/>
      <c r="AK42" s="28"/>
      <c r="AL42" s="28"/>
      <c r="AM42" s="28"/>
    </row>
    <row r="43" spans="1:39" ht="18" customHeight="1" x14ac:dyDescent="0.15">
      <c r="A43" s="68"/>
      <c r="B43" s="157"/>
      <c r="C43" s="79"/>
      <c r="D43" s="79"/>
      <c r="E43" s="79"/>
      <c r="F43" s="79"/>
      <c r="G43" s="80"/>
      <c r="H43" s="80"/>
      <c r="I43" s="80"/>
      <c r="J43" s="80"/>
      <c r="K43" s="80"/>
      <c r="L43" s="80"/>
      <c r="M43" s="80"/>
      <c r="N43" s="80"/>
      <c r="O43" s="82"/>
      <c r="P43" s="79"/>
      <c r="Q43" s="79"/>
      <c r="R43" s="79"/>
      <c r="S43" s="79"/>
      <c r="T43" s="79"/>
      <c r="U43" s="79"/>
      <c r="V43" s="79"/>
      <c r="W43" s="79"/>
      <c r="X43" s="79"/>
      <c r="Y43" s="79"/>
      <c r="Z43" s="79"/>
      <c r="AA43" s="79"/>
      <c r="AB43" s="86"/>
      <c r="AC43" s="28"/>
      <c r="AD43" s="28"/>
      <c r="AE43" s="28"/>
      <c r="AF43" s="28"/>
      <c r="AG43" s="28"/>
      <c r="AH43" s="28"/>
      <c r="AI43" s="28"/>
      <c r="AJ43" s="28"/>
      <c r="AK43" s="28"/>
      <c r="AL43" s="28"/>
      <c r="AM43" s="28"/>
    </row>
    <row r="44" spans="1:39" ht="18" customHeight="1" x14ac:dyDescent="0.15">
      <c r="A44" s="68"/>
      <c r="B44" s="157"/>
      <c r="C44" s="83"/>
      <c r="D44" s="83"/>
      <c r="E44" s="83"/>
      <c r="F44" s="83"/>
      <c r="G44" s="84"/>
      <c r="H44" s="84"/>
      <c r="I44" s="84"/>
      <c r="J44" s="84"/>
      <c r="K44" s="84"/>
      <c r="L44" s="84"/>
      <c r="M44" s="84"/>
      <c r="N44" s="84"/>
      <c r="O44" s="85"/>
      <c r="P44" s="83"/>
      <c r="Q44" s="83"/>
      <c r="R44" s="83"/>
      <c r="S44" s="83"/>
      <c r="T44" s="83"/>
      <c r="U44" s="83"/>
      <c r="V44" s="83"/>
      <c r="W44" s="83"/>
      <c r="X44" s="83"/>
      <c r="Y44" s="83"/>
      <c r="Z44" s="83"/>
      <c r="AA44" s="83"/>
      <c r="AB44" s="86"/>
      <c r="AC44" s="28"/>
      <c r="AD44" s="28"/>
      <c r="AE44" s="28"/>
      <c r="AF44" s="28"/>
      <c r="AG44" s="28"/>
      <c r="AH44" s="28"/>
      <c r="AI44" s="28"/>
      <c r="AJ44" s="28"/>
      <c r="AK44" s="28"/>
      <c r="AL44" s="28"/>
      <c r="AM44" s="28"/>
    </row>
    <row r="45" spans="1:39" ht="18" customHeight="1" x14ac:dyDescent="0.15">
      <c r="B45" s="157"/>
      <c r="C45" s="83"/>
      <c r="D45" s="83"/>
      <c r="E45" s="83"/>
      <c r="F45" s="83"/>
      <c r="G45" s="84"/>
      <c r="H45" s="84"/>
      <c r="I45" s="84"/>
      <c r="J45" s="84"/>
      <c r="K45" s="84"/>
      <c r="L45" s="84"/>
      <c r="M45" s="84"/>
      <c r="N45" s="84"/>
      <c r="O45" s="85"/>
      <c r="P45" s="83"/>
      <c r="Q45" s="83"/>
      <c r="R45" s="83"/>
      <c r="S45" s="83"/>
      <c r="T45" s="83"/>
      <c r="U45" s="83"/>
      <c r="V45" s="83"/>
      <c r="W45" s="83"/>
      <c r="X45" s="83"/>
      <c r="Y45" s="83"/>
      <c r="Z45" s="83"/>
      <c r="AA45" s="83"/>
      <c r="AC45" s="28"/>
      <c r="AD45" s="28"/>
      <c r="AE45" s="28"/>
      <c r="AF45" s="28"/>
      <c r="AG45" s="28"/>
      <c r="AH45" s="28"/>
      <c r="AI45" s="28"/>
      <c r="AJ45" s="28"/>
      <c r="AK45" s="28"/>
      <c r="AL45" s="28"/>
      <c r="AM45" s="28"/>
    </row>
    <row r="46" spans="1:39" ht="18" customHeight="1" x14ac:dyDescent="0.15">
      <c r="B46" s="157"/>
      <c r="C46" s="83"/>
      <c r="D46" s="83"/>
      <c r="E46" s="83"/>
      <c r="F46" s="83"/>
      <c r="G46" s="84"/>
      <c r="H46" s="84"/>
      <c r="I46" s="84"/>
      <c r="J46" s="84"/>
      <c r="K46" s="84"/>
      <c r="L46" s="84"/>
      <c r="M46" s="84"/>
      <c r="N46" s="84"/>
      <c r="O46" s="85"/>
      <c r="P46" s="83"/>
      <c r="Q46" s="83"/>
      <c r="R46" s="83"/>
      <c r="S46" s="83"/>
      <c r="T46" s="83"/>
      <c r="U46" s="83"/>
      <c r="V46" s="83"/>
      <c r="W46" s="83"/>
      <c r="X46" s="83"/>
      <c r="Y46" s="83"/>
      <c r="Z46" s="83"/>
      <c r="AA46" s="83"/>
      <c r="AC46" s="28"/>
      <c r="AD46" s="28"/>
      <c r="AE46" s="28"/>
      <c r="AF46" s="28"/>
      <c r="AG46" s="28"/>
      <c r="AH46" s="28"/>
      <c r="AI46" s="28"/>
      <c r="AJ46" s="28"/>
      <c r="AK46" s="28"/>
      <c r="AL46" s="28"/>
      <c r="AM46" s="28"/>
    </row>
    <row r="47" spans="1:39" ht="18" customHeight="1" x14ac:dyDescent="0.15">
      <c r="A47" s="68"/>
      <c r="B47" s="157"/>
      <c r="C47" s="83"/>
      <c r="D47" s="83"/>
      <c r="E47" s="83"/>
      <c r="F47" s="83"/>
      <c r="G47" s="84"/>
      <c r="H47" s="84"/>
      <c r="I47" s="84"/>
      <c r="J47" s="84"/>
      <c r="K47" s="84"/>
      <c r="L47" s="84"/>
      <c r="M47" s="84"/>
      <c r="N47" s="84"/>
      <c r="O47" s="85"/>
      <c r="P47" s="83"/>
      <c r="Q47" s="83"/>
      <c r="R47" s="83"/>
      <c r="S47" s="83"/>
      <c r="T47" s="83"/>
      <c r="U47" s="83"/>
      <c r="V47" s="83"/>
      <c r="W47" s="83"/>
      <c r="X47" s="83"/>
      <c r="Y47" s="83"/>
      <c r="Z47" s="83"/>
      <c r="AA47" s="83"/>
      <c r="AB47" s="86"/>
      <c r="AC47" s="28"/>
      <c r="AD47" s="28"/>
      <c r="AE47" s="28"/>
      <c r="AF47" s="28"/>
      <c r="AG47" s="28"/>
      <c r="AH47" s="28"/>
      <c r="AI47" s="28"/>
      <c r="AJ47" s="28"/>
      <c r="AK47" s="28"/>
      <c r="AL47" s="28"/>
      <c r="AM47" s="28"/>
    </row>
    <row r="48" spans="1:39" ht="18" customHeight="1" x14ac:dyDescent="0.15">
      <c r="A48" s="68"/>
      <c r="B48" s="157"/>
      <c r="C48" s="83"/>
      <c r="D48" s="83"/>
      <c r="E48" s="83"/>
      <c r="F48" s="83"/>
      <c r="G48" s="84"/>
      <c r="H48" s="84"/>
      <c r="I48" s="84"/>
      <c r="J48" s="84"/>
      <c r="K48" s="84"/>
      <c r="L48" s="84"/>
      <c r="M48" s="84"/>
      <c r="N48" s="84"/>
      <c r="O48" s="85"/>
      <c r="P48" s="83"/>
      <c r="Q48" s="83"/>
      <c r="R48" s="83"/>
      <c r="S48" s="83"/>
      <c r="T48" s="83"/>
      <c r="U48" s="83"/>
      <c r="V48" s="83"/>
      <c r="W48" s="83"/>
      <c r="X48" s="83"/>
      <c r="Y48" s="83"/>
      <c r="Z48" s="83"/>
      <c r="AA48" s="83"/>
      <c r="AB48" s="86"/>
      <c r="AC48" s="28"/>
      <c r="AD48" s="28"/>
      <c r="AE48" s="28"/>
      <c r="AF48" s="28"/>
      <c r="AG48" s="28"/>
      <c r="AH48" s="28"/>
      <c r="AI48" s="28"/>
      <c r="AJ48" s="28"/>
      <c r="AK48" s="28"/>
      <c r="AL48" s="28"/>
      <c r="AM48" s="28"/>
    </row>
    <row r="49" spans="1:50" ht="18" customHeight="1" x14ac:dyDescent="0.15">
      <c r="A49" s="68"/>
      <c r="B49" s="157"/>
      <c r="C49" s="91"/>
      <c r="D49" s="91"/>
      <c r="E49" s="91"/>
      <c r="F49" s="91"/>
      <c r="G49" s="92"/>
      <c r="H49" s="92"/>
      <c r="I49" s="92"/>
      <c r="J49" s="92"/>
      <c r="K49" s="92"/>
      <c r="L49" s="92"/>
      <c r="M49" s="92"/>
      <c r="N49" s="92"/>
      <c r="P49" s="91"/>
      <c r="Q49" s="91"/>
      <c r="R49" s="91"/>
      <c r="S49" s="91"/>
      <c r="T49" s="91"/>
      <c r="U49" s="91"/>
      <c r="V49" s="91"/>
      <c r="W49" s="91"/>
      <c r="X49" s="91"/>
      <c r="Y49" s="91"/>
      <c r="Z49" s="91"/>
      <c r="AA49" s="91"/>
      <c r="AB49" s="86"/>
      <c r="AC49" s="28"/>
      <c r="AD49" s="28"/>
      <c r="AE49" s="28"/>
      <c r="AF49" s="28"/>
      <c r="AG49" s="28"/>
      <c r="AH49" s="28"/>
      <c r="AI49" s="28"/>
      <c r="AJ49" s="28"/>
      <c r="AK49" s="28"/>
      <c r="AL49" s="28"/>
      <c r="AM49" s="28"/>
    </row>
    <row r="50" spans="1:50" ht="18" customHeight="1" x14ac:dyDescent="0.15">
      <c r="B50" s="157"/>
      <c r="C50" s="91"/>
      <c r="D50" s="91"/>
      <c r="E50" s="91"/>
      <c r="F50" s="91"/>
      <c r="G50" s="92"/>
      <c r="H50" s="92"/>
      <c r="I50" s="92"/>
      <c r="J50" s="92"/>
      <c r="K50" s="92"/>
      <c r="L50" s="92"/>
      <c r="M50" s="92"/>
      <c r="N50" s="92"/>
      <c r="P50" s="91"/>
      <c r="Q50" s="91"/>
      <c r="R50" s="91"/>
      <c r="S50" s="91"/>
      <c r="T50" s="91"/>
      <c r="U50" s="91"/>
      <c r="V50" s="91"/>
      <c r="W50" s="91"/>
      <c r="X50" s="91"/>
      <c r="Y50" s="91"/>
      <c r="Z50" s="91"/>
      <c r="AA50" s="91"/>
      <c r="AC50" s="28"/>
      <c r="AD50" s="28"/>
      <c r="AE50" s="28"/>
      <c r="AF50" s="28"/>
      <c r="AG50" s="28"/>
      <c r="AH50" s="28"/>
      <c r="AI50" s="28"/>
      <c r="AJ50" s="28"/>
      <c r="AK50" s="28"/>
      <c r="AL50" s="28"/>
      <c r="AM50" s="28"/>
    </row>
    <row r="51" spans="1:50" ht="18" customHeight="1" x14ac:dyDescent="0.15">
      <c r="B51" s="157"/>
      <c r="C51" s="91"/>
      <c r="D51" s="91"/>
      <c r="E51" s="91"/>
      <c r="F51" s="91"/>
      <c r="G51" s="92"/>
      <c r="H51" s="92"/>
      <c r="I51" s="92"/>
      <c r="J51" s="92"/>
      <c r="K51" s="92"/>
      <c r="L51" s="92"/>
      <c r="M51" s="92"/>
      <c r="N51" s="92"/>
      <c r="P51" s="91"/>
      <c r="Q51" s="91"/>
      <c r="R51" s="91"/>
      <c r="S51" s="91"/>
      <c r="T51" s="91"/>
      <c r="U51" s="91"/>
      <c r="V51" s="91"/>
      <c r="W51" s="91"/>
      <c r="X51" s="91"/>
      <c r="Y51" s="91"/>
      <c r="Z51" s="91"/>
      <c r="AA51" s="91"/>
      <c r="AC51" s="28"/>
      <c r="AD51" s="28"/>
      <c r="AE51" s="28"/>
      <c r="AF51" s="28"/>
      <c r="AG51" s="28"/>
      <c r="AH51" s="28"/>
      <c r="AI51" s="28"/>
      <c r="AJ51" s="28"/>
      <c r="AK51" s="28"/>
      <c r="AL51" s="28"/>
      <c r="AM51" s="28"/>
    </row>
    <row r="52" spans="1:50" ht="18" customHeight="1" x14ac:dyDescent="0.15">
      <c r="B52" s="157"/>
      <c r="AA52" s="93"/>
      <c r="AC52" s="28"/>
      <c r="AD52" s="28"/>
      <c r="AE52" s="28"/>
      <c r="AF52" s="28"/>
      <c r="AG52" s="28"/>
      <c r="AH52" s="28"/>
      <c r="AI52" s="28"/>
      <c r="AJ52" s="28"/>
      <c r="AK52" s="28"/>
      <c r="AL52" s="28"/>
      <c r="AM52" s="28"/>
    </row>
    <row r="53" spans="1:50" ht="18" customHeight="1" x14ac:dyDescent="0.15">
      <c r="B53" s="158" t="s">
        <v>59</v>
      </c>
      <c r="Y53" s="94"/>
      <c r="Z53" s="94"/>
      <c r="AA53" s="94"/>
      <c r="AC53" s="28"/>
      <c r="AD53" s="28"/>
      <c r="AE53" s="28"/>
      <c r="AF53" s="28"/>
      <c r="AG53" s="28"/>
      <c r="AH53" s="28"/>
      <c r="AI53" s="28"/>
      <c r="AJ53" s="28"/>
      <c r="AK53" s="28"/>
      <c r="AL53" s="28"/>
      <c r="AM53" s="28"/>
    </row>
    <row r="54" spans="1:50" x14ac:dyDescent="0.15">
      <c r="A54" s="160"/>
      <c r="B54" s="201" t="s">
        <v>10</v>
      </c>
      <c r="C54" s="202"/>
      <c r="D54" s="202"/>
      <c r="E54" s="202"/>
      <c r="F54" s="202"/>
      <c r="G54" s="202"/>
      <c r="H54" s="202"/>
      <c r="I54" s="202"/>
      <c r="J54" s="202"/>
      <c r="K54" s="202"/>
      <c r="L54" s="202"/>
      <c r="M54" s="202"/>
      <c r="N54" s="202"/>
      <c r="O54" s="202"/>
      <c r="P54" s="202"/>
      <c r="Q54" s="202"/>
      <c r="R54" s="202"/>
      <c r="S54" s="202"/>
      <c r="T54" s="202"/>
      <c r="U54" s="202"/>
      <c r="V54" s="202"/>
      <c r="W54" s="202"/>
      <c r="X54" s="202"/>
      <c r="Y54" s="202"/>
      <c r="Z54" s="202"/>
      <c r="AA54" s="202"/>
      <c r="AB54" s="202"/>
      <c r="AC54" s="28"/>
      <c r="AD54" s="28"/>
      <c r="AE54" s="28"/>
      <c r="AF54" s="28"/>
      <c r="AG54" s="28"/>
      <c r="AH54" s="28"/>
      <c r="AI54" s="28"/>
      <c r="AJ54" s="28"/>
      <c r="AK54" s="28"/>
      <c r="AL54" s="28"/>
      <c r="AM54" s="28"/>
    </row>
    <row r="55" spans="1:50" x14ac:dyDescent="0.15">
      <c r="A55" s="27"/>
      <c r="B55" s="203"/>
      <c r="C55" s="203"/>
      <c r="D55" s="203"/>
      <c r="E55" s="203"/>
      <c r="F55" s="203"/>
      <c r="G55" s="203"/>
      <c r="H55" s="203"/>
      <c r="I55" s="203"/>
      <c r="J55" s="203"/>
      <c r="K55" s="203"/>
      <c r="L55" s="203"/>
      <c r="M55" s="203"/>
      <c r="N55" s="203"/>
      <c r="O55" s="203"/>
      <c r="P55" s="203"/>
      <c r="Q55" s="203"/>
      <c r="R55" s="203"/>
      <c r="S55" s="203"/>
      <c r="T55" s="203"/>
      <c r="U55" s="203"/>
      <c r="V55" s="203"/>
      <c r="W55" s="203"/>
      <c r="X55" s="203"/>
      <c r="Y55" s="203"/>
      <c r="Z55" s="203"/>
      <c r="AA55" s="203"/>
      <c r="AB55" s="203"/>
      <c r="AC55" s="28"/>
      <c r="AD55" s="28"/>
      <c r="AE55" s="28"/>
      <c r="AF55" s="28"/>
      <c r="AG55" s="28"/>
      <c r="AH55" s="28"/>
      <c r="AI55" s="28"/>
      <c r="AJ55" s="28"/>
      <c r="AK55" s="28"/>
      <c r="AL55" s="28"/>
      <c r="AM55" s="28"/>
      <c r="AN55" s="70"/>
      <c r="AO55" s="70"/>
      <c r="AP55" s="70"/>
      <c r="AQ55" s="70"/>
      <c r="AR55" s="70"/>
      <c r="AS55" s="70"/>
      <c r="AT55" s="70"/>
      <c r="AU55" s="70"/>
      <c r="AV55" s="70"/>
      <c r="AW55" s="70"/>
      <c r="AX55" s="70"/>
    </row>
    <row r="56" spans="1:50" x14ac:dyDescent="0.15">
      <c r="A56" s="27"/>
      <c r="B56" s="203"/>
      <c r="C56" s="203"/>
      <c r="D56" s="203"/>
      <c r="E56" s="203"/>
      <c r="F56" s="203"/>
      <c r="G56" s="203"/>
      <c r="H56" s="203"/>
      <c r="I56" s="203"/>
      <c r="J56" s="203"/>
      <c r="K56" s="203"/>
      <c r="L56" s="203"/>
      <c r="M56" s="203"/>
      <c r="N56" s="203"/>
      <c r="O56" s="203"/>
      <c r="P56" s="203"/>
      <c r="Q56" s="203"/>
      <c r="R56" s="203"/>
      <c r="S56" s="203"/>
      <c r="T56" s="203"/>
      <c r="U56" s="203"/>
      <c r="V56" s="203"/>
      <c r="W56" s="203"/>
      <c r="X56" s="203"/>
      <c r="Y56" s="203"/>
      <c r="Z56" s="203"/>
      <c r="AA56" s="203"/>
      <c r="AB56" s="203"/>
      <c r="AC56" s="28"/>
      <c r="AD56" s="28"/>
      <c r="AE56" s="28"/>
      <c r="AF56" s="28"/>
      <c r="AG56" s="28"/>
      <c r="AH56" s="28"/>
      <c r="AI56" s="28"/>
      <c r="AJ56" s="28"/>
      <c r="AK56" s="28"/>
      <c r="AL56" s="28"/>
      <c r="AM56" s="28"/>
      <c r="AN56" s="70"/>
      <c r="AO56" s="70"/>
      <c r="AP56" s="70"/>
      <c r="AQ56" s="70"/>
      <c r="AR56" s="70"/>
      <c r="AS56" s="70"/>
      <c r="AT56" s="70"/>
      <c r="AU56" s="70"/>
      <c r="AV56" s="70"/>
      <c r="AW56" s="70"/>
      <c r="AX56" s="70"/>
    </row>
    <row r="57" spans="1:50" x14ac:dyDescent="0.15">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70"/>
      <c r="AO57" s="70"/>
      <c r="AP57" s="70"/>
      <c r="AQ57" s="70"/>
      <c r="AR57" s="70"/>
      <c r="AS57" s="70"/>
      <c r="AT57" s="70"/>
      <c r="AU57" s="70"/>
      <c r="AV57" s="70"/>
      <c r="AW57" s="70"/>
      <c r="AX57" s="70"/>
    </row>
    <row r="58" spans="1:50" x14ac:dyDescent="0.15">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70"/>
      <c r="AO58" s="70"/>
      <c r="AP58" s="70"/>
      <c r="AQ58" s="70"/>
      <c r="AR58" s="70"/>
      <c r="AS58" s="70"/>
      <c r="AT58" s="70"/>
      <c r="AU58" s="70"/>
      <c r="AV58" s="70"/>
      <c r="AW58" s="70"/>
      <c r="AX58" s="70"/>
    </row>
    <row r="59" spans="1:50" x14ac:dyDescent="0.15">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70"/>
      <c r="AO59" s="70"/>
      <c r="AP59" s="70"/>
      <c r="AQ59" s="70"/>
      <c r="AR59" s="70"/>
      <c r="AS59" s="70"/>
      <c r="AT59" s="70"/>
      <c r="AU59" s="70"/>
      <c r="AV59" s="70"/>
      <c r="AW59" s="70"/>
      <c r="AX59" s="70"/>
    </row>
    <row r="60" spans="1:50" x14ac:dyDescent="0.15">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70"/>
      <c r="AO60" s="70"/>
      <c r="AP60" s="70"/>
      <c r="AQ60" s="70"/>
      <c r="AR60" s="70"/>
      <c r="AS60" s="70"/>
      <c r="AT60" s="70"/>
      <c r="AU60" s="70"/>
      <c r="AV60" s="70"/>
      <c r="AW60" s="70"/>
      <c r="AX60" s="70"/>
    </row>
    <row r="61" spans="1:50" x14ac:dyDescent="0.15">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row>
    <row r="62" spans="1:50" x14ac:dyDescent="0.15">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row>
    <row r="63" spans="1:50" x14ac:dyDescent="0.15">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row>
    <row r="64" spans="1:50" x14ac:dyDescent="0.15">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row>
    <row r="65" spans="1:39" x14ac:dyDescent="0.1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row>
    <row r="66" spans="1:39" x14ac:dyDescent="0.15">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row>
    <row r="67" spans="1:39" x14ac:dyDescent="0.15">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row>
    <row r="68" spans="1:39" x14ac:dyDescent="0.15">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row>
    <row r="69" spans="1:39" x14ac:dyDescent="0.15">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row>
    <row r="70" spans="1:39" x14ac:dyDescent="0.15">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row>
    <row r="71" spans="1:39" x14ac:dyDescent="0.15">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row>
    <row r="72" spans="1:39" x14ac:dyDescent="0.15">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row>
    <row r="73" spans="1:39" x14ac:dyDescent="0.15">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row>
    <row r="74" spans="1:39" x14ac:dyDescent="0.15">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row>
    <row r="75" spans="1:39" x14ac:dyDescent="0.1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row>
    <row r="76" spans="1:39" x14ac:dyDescent="0.15">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row>
    <row r="77" spans="1:39" x14ac:dyDescent="0.15">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row>
    <row r="78" spans="1:39" x14ac:dyDescent="0.15">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row>
    <row r="79" spans="1:39" x14ac:dyDescent="0.15">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row>
    <row r="80" spans="1:39" x14ac:dyDescent="0.15">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row>
    <row r="81" spans="1:39" x14ac:dyDescent="0.15">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row>
    <row r="82" spans="1:39" x14ac:dyDescent="0.15">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row>
    <row r="83" spans="1:39" x14ac:dyDescent="0.15">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row>
    <row r="84" spans="1:39" x14ac:dyDescent="0.15">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row>
    <row r="85" spans="1:39" x14ac:dyDescent="0.1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row>
    <row r="86" spans="1:39" x14ac:dyDescent="0.15">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row>
    <row r="87" spans="1:39" x14ac:dyDescent="0.15">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row>
    <row r="88" spans="1:39" x14ac:dyDescent="0.15">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row>
    <row r="89" spans="1:39" x14ac:dyDescent="0.15">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row>
    <row r="90" spans="1:39" x14ac:dyDescent="0.15">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row>
    <row r="91" spans="1:39" x14ac:dyDescent="0.15">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row>
    <row r="92" spans="1:39" x14ac:dyDescent="0.15">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row>
    <row r="93" spans="1:39" x14ac:dyDescent="0.15">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row>
    <row r="94" spans="1:39" x14ac:dyDescent="0.15">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row>
    <row r="95" spans="1:39" x14ac:dyDescent="0.1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row>
    <row r="96" spans="1:39" x14ac:dyDescent="0.15">
      <c r="AC96" s="70"/>
      <c r="AD96" s="70"/>
      <c r="AE96" s="70"/>
    </row>
    <row r="97" spans="29:31" x14ac:dyDescent="0.15">
      <c r="AC97" s="70"/>
      <c r="AD97" s="70"/>
      <c r="AE97" s="70"/>
    </row>
    <row r="98" spans="29:31" x14ac:dyDescent="0.15">
      <c r="AC98" s="70"/>
      <c r="AD98" s="70"/>
      <c r="AE98" s="70"/>
    </row>
    <row r="99" spans="29:31" x14ac:dyDescent="0.15">
      <c r="AC99" s="70"/>
      <c r="AD99" s="70"/>
      <c r="AE99" s="70"/>
    </row>
    <row r="100" spans="29:31" x14ac:dyDescent="0.15">
      <c r="AC100" s="70"/>
      <c r="AD100" s="70"/>
      <c r="AE100" s="70"/>
    </row>
  </sheetData>
  <mergeCells count="17">
    <mergeCell ref="P8:R8"/>
    <mergeCell ref="B54:AB56"/>
    <mergeCell ref="X29:Z29"/>
    <mergeCell ref="C7:M7"/>
    <mergeCell ref="K8:M8"/>
    <mergeCell ref="G8:I8"/>
    <mergeCell ref="T29:V29"/>
    <mergeCell ref="C28:M28"/>
    <mergeCell ref="C8:E8"/>
    <mergeCell ref="K29:M29"/>
    <mergeCell ref="G29:I29"/>
    <mergeCell ref="C29:E29"/>
    <mergeCell ref="P29:R29"/>
    <mergeCell ref="P7:Z7"/>
    <mergeCell ref="X8:Z8"/>
    <mergeCell ref="T8:V8"/>
    <mergeCell ref="P28:Z28"/>
  </mergeCells>
  <phoneticPr fontId="0" type="noConversion"/>
  <printOptions gridLinesSet="0"/>
  <pageMargins left="0" right="0" top="0" bottom="0" header="0.5" footer="0.5"/>
  <pageSetup paperSize="0" orientation="landscape" horizontalDpi="0" verticalDpi="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3CD24-D20E-461B-8B06-75125F32683E}">
  <sheetPr>
    <outlinePr summaryBelow="0" summaryRight="0"/>
    <pageSetUpPr autoPageBreaks="0" fitToPage="1"/>
  </sheetPr>
  <dimension ref="A1:AX100"/>
  <sheetViews>
    <sheetView showGridLines="0" zoomScale="80" zoomScaleNormal="80" zoomScaleSheetLayoutView="80" workbookViewId="0"/>
  </sheetViews>
  <sheetFormatPr defaultRowHeight="12.75" x14ac:dyDescent="0.15"/>
  <cols>
    <col min="1" max="1" width="2.6953125" customWidth="1"/>
    <col min="2" max="2" width="21.3046875" customWidth="1"/>
    <col min="3" max="11" width="9.70703125" customWidth="1"/>
    <col min="12" max="12" width="1.48046875" customWidth="1"/>
    <col min="13" max="21" width="9.70703125" customWidth="1"/>
    <col min="22" max="22" width="3.50390625" customWidth="1"/>
    <col min="23" max="25" width="9.16796875" customWidth="1"/>
  </cols>
  <sheetData>
    <row r="1" spans="1:33" ht="30" customHeight="1" x14ac:dyDescent="0.15">
      <c r="A1" s="64"/>
      <c r="B1" s="153" t="s">
        <v>60</v>
      </c>
      <c r="Q1" s="65"/>
      <c r="R1" s="65"/>
      <c r="S1" s="65"/>
      <c r="T1" s="65"/>
      <c r="U1" s="65"/>
      <c r="V1" s="159" t="s">
        <v>39</v>
      </c>
      <c r="W1" s="28"/>
      <c r="X1" s="28"/>
      <c r="Y1" s="28"/>
      <c r="Z1" s="28"/>
      <c r="AA1" s="28"/>
      <c r="AB1" s="28"/>
      <c r="AC1" s="28"/>
      <c r="AD1" s="28"/>
      <c r="AE1" s="28"/>
      <c r="AF1" s="28"/>
      <c r="AG1" s="28"/>
    </row>
    <row r="2" spans="1:33" ht="15" customHeight="1" x14ac:dyDescent="0.15">
      <c r="A2" s="66"/>
      <c r="B2" s="66" t="s">
        <v>1</v>
      </c>
      <c r="Q2" s="65"/>
      <c r="R2" s="65"/>
      <c r="S2" s="65"/>
      <c r="T2" s="65"/>
      <c r="U2" s="65"/>
      <c r="V2" s="65"/>
      <c r="W2" s="28"/>
      <c r="X2" s="28"/>
      <c r="Y2" s="28"/>
      <c r="Z2" s="28"/>
      <c r="AA2" s="28"/>
      <c r="AB2" s="28"/>
      <c r="AC2" s="28"/>
      <c r="AD2" s="28"/>
      <c r="AE2" s="28"/>
      <c r="AF2" s="28"/>
      <c r="AG2" s="28"/>
    </row>
    <row r="3" spans="1:33" ht="16.5" customHeight="1" x14ac:dyDescent="0.2">
      <c r="A3" s="66"/>
      <c r="B3" s="154" t="s">
        <v>2</v>
      </c>
      <c r="J3" s="67"/>
      <c r="Q3" s="65"/>
      <c r="R3" s="65"/>
      <c r="S3" s="65"/>
      <c r="T3" s="65"/>
      <c r="U3" s="65"/>
      <c r="V3" s="65"/>
      <c r="W3" s="28"/>
      <c r="X3" s="28"/>
      <c r="Y3" s="28"/>
      <c r="Z3" s="28"/>
      <c r="AA3" s="28"/>
      <c r="AB3" s="28"/>
      <c r="AC3" s="28"/>
      <c r="AD3" s="28"/>
      <c r="AE3" s="28"/>
      <c r="AF3" s="28"/>
      <c r="AG3" s="28"/>
    </row>
    <row r="4" spans="1:33" ht="12.75" customHeight="1" x14ac:dyDescent="0.15">
      <c r="Q4" s="65"/>
      <c r="R4" s="65"/>
      <c r="S4" s="65"/>
      <c r="T4" s="65"/>
      <c r="U4" s="65"/>
      <c r="V4" s="65"/>
      <c r="W4" s="28"/>
      <c r="X4" s="28"/>
      <c r="Y4" s="28"/>
      <c r="Z4" s="28"/>
      <c r="AA4" s="28"/>
      <c r="AB4" s="28"/>
      <c r="AC4" s="28"/>
      <c r="AD4" s="28"/>
      <c r="AE4" s="28"/>
      <c r="AF4" s="28"/>
      <c r="AG4" s="28"/>
    </row>
    <row r="5" spans="1:33" ht="18" customHeight="1" x14ac:dyDescent="0.15">
      <c r="A5" s="68"/>
      <c r="B5" s="166"/>
      <c r="C5" s="95"/>
      <c r="D5" s="95"/>
      <c r="E5" s="95"/>
      <c r="F5" s="95"/>
      <c r="G5" s="95"/>
      <c r="H5" s="95"/>
      <c r="I5" s="95"/>
      <c r="J5" s="95"/>
      <c r="K5" s="95"/>
      <c r="L5" s="96"/>
      <c r="M5" s="95"/>
      <c r="N5" s="95"/>
      <c r="O5" s="95"/>
      <c r="P5" s="95"/>
      <c r="Q5" s="97"/>
      <c r="R5" s="97"/>
      <c r="S5" s="97"/>
      <c r="T5" s="97"/>
      <c r="U5" s="97"/>
      <c r="V5" s="5"/>
      <c r="W5" s="28"/>
      <c r="X5" s="28"/>
      <c r="Y5" s="28"/>
      <c r="Z5" s="28"/>
      <c r="AA5" s="28"/>
      <c r="AB5" s="28"/>
      <c r="AC5" s="28"/>
      <c r="AD5" s="28"/>
      <c r="AE5" s="28"/>
      <c r="AF5" s="28"/>
      <c r="AG5" s="28"/>
    </row>
    <row r="6" spans="1:33" ht="18" customHeight="1" x14ac:dyDescent="0.15">
      <c r="A6" s="68"/>
      <c r="B6" s="166"/>
      <c r="C6" s="95"/>
      <c r="D6" s="95"/>
      <c r="E6" s="95"/>
      <c r="F6" s="95"/>
      <c r="G6" s="95"/>
      <c r="H6" s="95"/>
      <c r="I6" s="95"/>
      <c r="J6" s="95"/>
      <c r="K6" s="95"/>
      <c r="L6" s="96"/>
      <c r="M6" s="95"/>
      <c r="N6" s="95"/>
      <c r="O6" s="95"/>
      <c r="P6" s="95"/>
      <c r="Q6" s="97"/>
      <c r="R6" s="97"/>
      <c r="S6" s="97"/>
      <c r="T6" s="97"/>
      <c r="U6" s="97"/>
      <c r="V6" s="5"/>
      <c r="W6" s="28"/>
      <c r="X6" s="28"/>
      <c r="Y6" s="28"/>
      <c r="Z6" s="28"/>
      <c r="AA6" s="28"/>
      <c r="AB6" s="28"/>
      <c r="AC6" s="28"/>
      <c r="AD6" s="28"/>
      <c r="AE6" s="28"/>
      <c r="AF6" s="28"/>
      <c r="AG6" s="28"/>
    </row>
    <row r="7" spans="1:33" ht="15.75" customHeight="1" x14ac:dyDescent="0.15">
      <c r="C7" s="211" t="s">
        <v>61</v>
      </c>
      <c r="D7" s="211"/>
      <c r="E7" s="211"/>
      <c r="F7" s="211"/>
      <c r="G7" s="211"/>
      <c r="H7" s="211"/>
      <c r="I7" s="211"/>
      <c r="J7" s="211"/>
      <c r="K7" s="211"/>
      <c r="L7" s="70"/>
      <c r="M7" s="211" t="s">
        <v>62</v>
      </c>
      <c r="N7" s="211"/>
      <c r="O7" s="211"/>
      <c r="P7" s="211"/>
      <c r="Q7" s="211"/>
      <c r="R7" s="211"/>
      <c r="S7" s="211"/>
      <c r="T7" s="211"/>
      <c r="U7" s="211"/>
      <c r="W7" s="28"/>
      <c r="X7" s="28"/>
      <c r="Y7" s="28"/>
      <c r="Z7" s="28"/>
      <c r="AA7" s="28"/>
      <c r="AB7" s="28"/>
      <c r="AC7" s="28"/>
      <c r="AD7" s="28"/>
      <c r="AE7" s="28"/>
      <c r="AF7" s="28"/>
      <c r="AG7" s="28"/>
    </row>
    <row r="8" spans="1:33" ht="15.75" customHeight="1" x14ac:dyDescent="0.15">
      <c r="C8" s="98" t="s">
        <v>63</v>
      </c>
      <c r="D8" s="216" t="s">
        <v>64</v>
      </c>
      <c r="E8" s="214"/>
      <c r="F8" s="214"/>
      <c r="G8" s="215"/>
      <c r="H8" s="213" t="s">
        <v>65</v>
      </c>
      <c r="I8" s="214"/>
      <c r="J8" s="214"/>
      <c r="K8" s="215"/>
      <c r="L8" s="70"/>
      <c r="M8" s="98" t="s">
        <v>63</v>
      </c>
      <c r="N8" s="216" t="s">
        <v>64</v>
      </c>
      <c r="O8" s="214"/>
      <c r="P8" s="214"/>
      <c r="Q8" s="215"/>
      <c r="R8" s="213" t="s">
        <v>65</v>
      </c>
      <c r="S8" s="214"/>
      <c r="T8" s="214"/>
      <c r="U8" s="215"/>
      <c r="W8" s="28"/>
      <c r="X8" s="28"/>
      <c r="Y8" s="28"/>
      <c r="Z8" s="28"/>
      <c r="AA8" s="28"/>
      <c r="AB8" s="28"/>
      <c r="AC8" s="28"/>
      <c r="AD8" s="28"/>
      <c r="AE8" s="28"/>
      <c r="AF8" s="28"/>
      <c r="AG8" s="28"/>
    </row>
    <row r="9" spans="1:33" ht="27" customHeight="1" x14ac:dyDescent="0.2">
      <c r="A9" s="74"/>
      <c r="B9" s="156" t="s">
        <v>47</v>
      </c>
      <c r="C9" s="99" t="s">
        <v>51</v>
      </c>
      <c r="D9" s="75" t="s">
        <v>48</v>
      </c>
      <c r="E9" s="76" t="s">
        <v>49</v>
      </c>
      <c r="F9" s="76" t="s">
        <v>66</v>
      </c>
      <c r="G9" s="77" t="s">
        <v>51</v>
      </c>
      <c r="H9" s="75" t="s">
        <v>48</v>
      </c>
      <c r="I9" s="76" t="s">
        <v>49</v>
      </c>
      <c r="J9" s="76" t="s">
        <v>66</v>
      </c>
      <c r="K9" s="77" t="s">
        <v>51</v>
      </c>
      <c r="L9" s="78"/>
      <c r="M9" s="99" t="s">
        <v>51</v>
      </c>
      <c r="N9" s="75" t="s">
        <v>48</v>
      </c>
      <c r="O9" s="76" t="s">
        <v>49</v>
      </c>
      <c r="P9" s="76" t="s">
        <v>66</v>
      </c>
      <c r="Q9" s="77" t="s">
        <v>51</v>
      </c>
      <c r="R9" s="75" t="s">
        <v>48</v>
      </c>
      <c r="S9" s="76" t="s">
        <v>49</v>
      </c>
      <c r="T9" s="76" t="s">
        <v>66</v>
      </c>
      <c r="U9" s="77" t="s">
        <v>51</v>
      </c>
      <c r="W9" s="28"/>
      <c r="X9" s="28"/>
      <c r="Y9" s="28"/>
      <c r="Z9" s="28"/>
      <c r="AA9" s="28"/>
      <c r="AB9" s="28"/>
      <c r="AC9" s="28"/>
      <c r="AD9" s="28"/>
      <c r="AE9" s="28"/>
      <c r="AF9" s="28"/>
      <c r="AG9" s="28"/>
    </row>
    <row r="10" spans="1:33" ht="18" customHeight="1" x14ac:dyDescent="0.2">
      <c r="A10" s="74"/>
      <c r="B10" s="137" t="s">
        <v>52</v>
      </c>
      <c r="C10" s="161">
        <v>11396</v>
      </c>
      <c r="D10" s="161">
        <v>3836.5861100963798</v>
      </c>
      <c r="E10" s="165">
        <v>2827.4138899036102</v>
      </c>
      <c r="F10" s="165">
        <v>0</v>
      </c>
      <c r="G10" s="165">
        <v>6664</v>
      </c>
      <c r="H10" s="161">
        <v>1530528.64223093</v>
      </c>
      <c r="I10" s="165">
        <v>1378392.4777690601</v>
      </c>
      <c r="J10" s="165">
        <v>0</v>
      </c>
      <c r="K10" s="165">
        <v>2908921.12</v>
      </c>
      <c r="L10" s="162"/>
      <c r="M10" s="161">
        <v>11788</v>
      </c>
      <c r="N10" s="161">
        <v>3118.1192742946901</v>
      </c>
      <c r="O10" s="165">
        <v>4700.8807257053004</v>
      </c>
      <c r="P10" s="165">
        <v>0</v>
      </c>
      <c r="Q10" s="165">
        <v>7819</v>
      </c>
      <c r="R10" s="161">
        <v>1068841.42397028</v>
      </c>
      <c r="S10" s="165">
        <v>2071743.26602971</v>
      </c>
      <c r="T10" s="165">
        <v>0</v>
      </c>
      <c r="U10" s="165">
        <v>3140584.69</v>
      </c>
      <c r="V10" s="141"/>
      <c r="W10" s="28"/>
      <c r="X10" s="28"/>
      <c r="Y10" s="28"/>
      <c r="Z10" s="28"/>
      <c r="AA10" s="28"/>
      <c r="AB10" s="28"/>
      <c r="AC10" s="28"/>
      <c r="AD10" s="28"/>
      <c r="AE10" s="28"/>
      <c r="AF10" s="28"/>
      <c r="AG10" s="28"/>
    </row>
    <row r="11" spans="1:33" ht="18" customHeight="1" x14ac:dyDescent="0.2">
      <c r="A11" s="74"/>
      <c r="B11" s="142" t="s">
        <v>53</v>
      </c>
      <c r="C11" s="163">
        <v>22624</v>
      </c>
      <c r="D11" s="163">
        <v>9710.5816965002905</v>
      </c>
      <c r="E11" s="164">
        <v>6939.0187047109403</v>
      </c>
      <c r="F11" s="164">
        <v>580.39959878876004</v>
      </c>
      <c r="G11" s="164">
        <v>17230</v>
      </c>
      <c r="H11" s="163">
        <v>3225686.6870541801</v>
      </c>
      <c r="I11" s="164">
        <v>2058057.96892707</v>
      </c>
      <c r="J11" s="164">
        <v>292658.534018746</v>
      </c>
      <c r="K11" s="164">
        <v>5576403.1900000004</v>
      </c>
      <c r="L11" s="162"/>
      <c r="M11" s="163">
        <v>22449</v>
      </c>
      <c r="N11" s="163">
        <v>10111.943493208601</v>
      </c>
      <c r="O11" s="164">
        <v>6077.4059959336701</v>
      </c>
      <c r="P11" s="164">
        <v>946.65051085772802</v>
      </c>
      <c r="Q11" s="164">
        <v>17136</v>
      </c>
      <c r="R11" s="163">
        <v>3394483.0597341899</v>
      </c>
      <c r="S11" s="164">
        <v>1879090.1114868601</v>
      </c>
      <c r="T11" s="164">
        <v>411973.99877894198</v>
      </c>
      <c r="U11" s="164">
        <v>5685547.1699999999</v>
      </c>
      <c r="V11" s="141"/>
      <c r="W11" s="28"/>
      <c r="X11" s="28"/>
      <c r="Y11" s="28"/>
      <c r="Z11" s="28"/>
      <c r="AA11" s="28"/>
      <c r="AB11" s="28"/>
      <c r="AC11" s="28"/>
      <c r="AD11" s="28"/>
      <c r="AE11" s="28"/>
      <c r="AF11" s="28"/>
      <c r="AG11" s="28"/>
    </row>
    <row r="12" spans="1:33" ht="18" customHeight="1" x14ac:dyDescent="0.2">
      <c r="A12" s="74"/>
      <c r="B12" s="147" t="s">
        <v>54</v>
      </c>
      <c r="C12" s="162">
        <v>18963</v>
      </c>
      <c r="D12" s="162">
        <v>9064.5899526046996</v>
      </c>
      <c r="E12" s="95">
        <v>4306.4100473952903</v>
      </c>
      <c r="F12" s="95">
        <v>0</v>
      </c>
      <c r="G12" s="95">
        <v>13371</v>
      </c>
      <c r="H12" s="162">
        <v>2669448.6353500299</v>
      </c>
      <c r="I12" s="95">
        <v>1427643.1346499601</v>
      </c>
      <c r="J12" s="95">
        <v>0</v>
      </c>
      <c r="K12" s="95">
        <v>4097091.77</v>
      </c>
      <c r="L12" s="162"/>
      <c r="M12" s="162">
        <v>19040</v>
      </c>
      <c r="N12" s="162">
        <v>9678.7221666984697</v>
      </c>
      <c r="O12" s="95">
        <v>4819.9428193208496</v>
      </c>
      <c r="P12" s="95">
        <v>8.3350139806616497</v>
      </c>
      <c r="Q12" s="95">
        <v>14507</v>
      </c>
      <c r="R12" s="162">
        <v>2635104.0804225099</v>
      </c>
      <c r="S12" s="95">
        <v>1368890.36812815</v>
      </c>
      <c r="T12" s="95">
        <v>3618.1914493305799</v>
      </c>
      <c r="U12" s="95">
        <v>4007612.64</v>
      </c>
      <c r="V12" s="141"/>
      <c r="W12" s="28"/>
      <c r="X12" s="28"/>
      <c r="Y12" s="28"/>
      <c r="Z12" s="28"/>
      <c r="AA12" s="28"/>
      <c r="AB12" s="28"/>
      <c r="AC12" s="28"/>
      <c r="AD12" s="28"/>
      <c r="AE12" s="28"/>
      <c r="AF12" s="28"/>
      <c r="AG12" s="28"/>
    </row>
    <row r="13" spans="1:33" ht="18" customHeight="1" x14ac:dyDescent="0.2">
      <c r="A13" s="74"/>
      <c r="B13" s="142" t="s">
        <v>55</v>
      </c>
      <c r="C13" s="163">
        <v>25942</v>
      </c>
      <c r="D13" s="163">
        <v>15311.5482314489</v>
      </c>
      <c r="E13" s="164">
        <v>2960.38712296929</v>
      </c>
      <c r="F13" s="164">
        <v>646.06464558179403</v>
      </c>
      <c r="G13" s="164">
        <v>18918</v>
      </c>
      <c r="H13" s="163">
        <v>4318872.1160703897</v>
      </c>
      <c r="I13" s="164">
        <v>800739.10190745106</v>
      </c>
      <c r="J13" s="164">
        <v>116524.16202215099</v>
      </c>
      <c r="K13" s="164">
        <v>5236135.38</v>
      </c>
      <c r="L13" s="162"/>
      <c r="M13" s="163">
        <v>25942</v>
      </c>
      <c r="N13" s="163">
        <v>13868.6022315632</v>
      </c>
      <c r="O13" s="164">
        <v>3185.9752685646799</v>
      </c>
      <c r="P13" s="164">
        <v>559.42249987204605</v>
      </c>
      <c r="Q13" s="164">
        <v>17614</v>
      </c>
      <c r="R13" s="163">
        <v>3806653.9511878099</v>
      </c>
      <c r="S13" s="164">
        <v>942199.52513022197</v>
      </c>
      <c r="T13" s="164">
        <v>89884.963681960697</v>
      </c>
      <c r="U13" s="164">
        <v>4838738.4400000004</v>
      </c>
      <c r="V13" s="141"/>
      <c r="W13" s="28"/>
      <c r="X13" s="28"/>
      <c r="Y13" s="28"/>
      <c r="Z13" s="28"/>
      <c r="AA13" s="28"/>
      <c r="AB13" s="28"/>
      <c r="AC13" s="28"/>
      <c r="AD13" s="28"/>
      <c r="AE13" s="28"/>
      <c r="AF13" s="28"/>
      <c r="AG13" s="28"/>
    </row>
    <row r="14" spans="1:33" ht="18" customHeight="1" x14ac:dyDescent="0.2">
      <c r="A14" s="81"/>
      <c r="B14" s="147" t="s">
        <v>56</v>
      </c>
      <c r="C14" s="162">
        <v>41139</v>
      </c>
      <c r="D14" s="162">
        <v>17946.754732513</v>
      </c>
      <c r="E14" s="95">
        <v>12661.233199555099</v>
      </c>
      <c r="F14" s="95">
        <v>382.01206793185099</v>
      </c>
      <c r="G14" s="95">
        <v>30990</v>
      </c>
      <c r="H14" s="162">
        <v>5207583.3384240596</v>
      </c>
      <c r="I14" s="95">
        <v>3256577.6342360298</v>
      </c>
      <c r="J14" s="95">
        <v>50584.787339900198</v>
      </c>
      <c r="K14" s="95">
        <v>8514745.7599999998</v>
      </c>
      <c r="L14" s="162"/>
      <c r="M14" s="162">
        <v>40964</v>
      </c>
      <c r="N14" s="162">
        <v>18832.489596165298</v>
      </c>
      <c r="O14" s="95">
        <v>9409.6853305435307</v>
      </c>
      <c r="P14" s="95">
        <v>386.82507329115901</v>
      </c>
      <c r="Q14" s="95">
        <v>28629</v>
      </c>
      <c r="R14" s="162">
        <v>4582189.0282572201</v>
      </c>
      <c r="S14" s="95">
        <v>2243049.6695169802</v>
      </c>
      <c r="T14" s="95">
        <v>54126.172225788803</v>
      </c>
      <c r="U14" s="95">
        <v>6879364.8700000001</v>
      </c>
      <c r="V14" s="141"/>
      <c r="W14" s="28"/>
      <c r="X14" s="28"/>
      <c r="Y14" s="28"/>
      <c r="Z14" s="28"/>
      <c r="AA14" s="28"/>
      <c r="AB14" s="28"/>
      <c r="AC14" s="28"/>
      <c r="AD14" s="28"/>
      <c r="AE14" s="28"/>
      <c r="AF14" s="28"/>
      <c r="AG14" s="28"/>
    </row>
    <row r="15" spans="1:33" ht="18" customHeight="1" x14ac:dyDescent="0.2">
      <c r="A15" s="81"/>
      <c r="B15" s="142" t="s">
        <v>57</v>
      </c>
      <c r="C15" s="163">
        <v>16751</v>
      </c>
      <c r="D15" s="163">
        <v>6539.4916195126098</v>
      </c>
      <c r="E15" s="164">
        <v>6345.5083804873802</v>
      </c>
      <c r="F15" s="164">
        <v>0</v>
      </c>
      <c r="G15" s="164">
        <v>12885</v>
      </c>
      <c r="H15" s="163">
        <v>1521528.0239210799</v>
      </c>
      <c r="I15" s="164">
        <v>1796167.46607891</v>
      </c>
      <c r="J15" s="164">
        <v>0</v>
      </c>
      <c r="K15" s="164">
        <v>3317695.49</v>
      </c>
      <c r="L15" s="162"/>
      <c r="M15" s="163">
        <v>16751</v>
      </c>
      <c r="N15" s="163">
        <v>6474.85873161374</v>
      </c>
      <c r="O15" s="164">
        <v>5514.14126838625</v>
      </c>
      <c r="P15" s="164">
        <v>0</v>
      </c>
      <c r="Q15" s="164">
        <v>11989</v>
      </c>
      <c r="R15" s="163">
        <v>1486334.37984253</v>
      </c>
      <c r="S15" s="164">
        <v>1462469.9801574601</v>
      </c>
      <c r="T15" s="164">
        <v>0</v>
      </c>
      <c r="U15" s="164">
        <v>2948804.36</v>
      </c>
      <c r="V15" s="141"/>
      <c r="W15" s="28"/>
      <c r="X15" s="28"/>
      <c r="Y15" s="28"/>
      <c r="Z15" s="28"/>
      <c r="AA15" s="28"/>
      <c r="AB15" s="28"/>
      <c r="AC15" s="28"/>
      <c r="AD15" s="28"/>
      <c r="AE15" s="28"/>
      <c r="AF15" s="28"/>
      <c r="AG15" s="28"/>
    </row>
    <row r="16" spans="1:33" ht="18" customHeight="1" x14ac:dyDescent="0.2">
      <c r="A16" s="81"/>
      <c r="B16" s="152"/>
      <c r="C16" s="165"/>
      <c r="D16" s="165"/>
      <c r="E16" s="165"/>
      <c r="F16" s="165"/>
      <c r="G16" s="165"/>
      <c r="H16" s="165"/>
      <c r="I16" s="165"/>
      <c r="J16" s="165"/>
      <c r="K16" s="165"/>
      <c r="L16" s="95"/>
      <c r="M16" s="165"/>
      <c r="N16" s="165"/>
      <c r="O16" s="165"/>
      <c r="P16" s="165"/>
      <c r="Q16" s="165"/>
      <c r="R16" s="165"/>
      <c r="S16" s="165"/>
      <c r="T16" s="165"/>
      <c r="U16" s="165"/>
      <c r="W16" s="28"/>
      <c r="X16" s="28"/>
      <c r="Y16" s="28"/>
      <c r="Z16" s="28"/>
      <c r="AA16" s="28"/>
      <c r="AB16" s="28"/>
      <c r="AC16" s="28"/>
      <c r="AD16" s="28"/>
      <c r="AE16" s="28"/>
      <c r="AF16" s="28"/>
      <c r="AG16" s="28"/>
    </row>
    <row r="17" spans="1:33" ht="18" customHeight="1" x14ac:dyDescent="0.2">
      <c r="A17" s="81"/>
      <c r="B17" s="157"/>
      <c r="C17" s="95"/>
      <c r="D17" s="95"/>
      <c r="E17" s="95"/>
      <c r="F17" s="95"/>
      <c r="G17" s="95"/>
      <c r="H17" s="95"/>
      <c r="I17" s="95"/>
      <c r="J17" s="95"/>
      <c r="K17" s="95"/>
      <c r="L17" s="95"/>
      <c r="M17" s="95"/>
      <c r="N17" s="95"/>
      <c r="O17" s="95"/>
      <c r="P17" s="95"/>
      <c r="Q17" s="95"/>
      <c r="R17" s="95"/>
      <c r="S17" s="95"/>
      <c r="T17" s="95"/>
      <c r="U17" s="95"/>
      <c r="W17" s="28"/>
      <c r="X17" s="28"/>
      <c r="Y17" s="28"/>
      <c r="Z17" s="28"/>
      <c r="AA17" s="28"/>
      <c r="AB17" s="28"/>
      <c r="AC17" s="28"/>
      <c r="AD17" s="28"/>
      <c r="AE17" s="28"/>
      <c r="AF17" s="28"/>
      <c r="AG17" s="28"/>
    </row>
    <row r="18" spans="1:33" ht="18" customHeight="1" x14ac:dyDescent="0.2">
      <c r="A18" s="81"/>
      <c r="B18" s="157"/>
      <c r="C18" s="95"/>
      <c r="D18" s="95"/>
      <c r="E18" s="95"/>
      <c r="F18" s="95"/>
      <c r="G18" s="95"/>
      <c r="H18" s="95"/>
      <c r="I18" s="95"/>
      <c r="J18" s="95"/>
      <c r="K18" s="95"/>
      <c r="L18" s="95"/>
      <c r="M18" s="95"/>
      <c r="N18" s="95"/>
      <c r="O18" s="95"/>
      <c r="P18" s="95"/>
      <c r="Q18" s="95"/>
      <c r="R18" s="95"/>
      <c r="S18" s="95"/>
      <c r="T18" s="95"/>
      <c r="U18" s="95"/>
      <c r="W18" s="28"/>
      <c r="X18" s="28"/>
      <c r="Y18" s="28"/>
      <c r="Z18" s="28"/>
      <c r="AA18" s="28"/>
      <c r="AB18" s="28"/>
      <c r="AC18" s="28"/>
      <c r="AD18" s="28"/>
      <c r="AE18" s="28"/>
      <c r="AF18" s="28"/>
      <c r="AG18" s="28"/>
    </row>
    <row r="19" spans="1:33" ht="18" customHeight="1" x14ac:dyDescent="0.2">
      <c r="A19" s="81"/>
      <c r="B19" s="157"/>
      <c r="C19" s="95"/>
      <c r="D19" s="95"/>
      <c r="E19" s="95"/>
      <c r="F19" s="95"/>
      <c r="G19" s="95"/>
      <c r="H19" s="95"/>
      <c r="I19" s="95"/>
      <c r="J19" s="95"/>
      <c r="K19" s="95"/>
      <c r="L19" s="95"/>
      <c r="M19" s="95"/>
      <c r="N19" s="95"/>
      <c r="O19" s="95"/>
      <c r="P19" s="95"/>
      <c r="Q19" s="95"/>
      <c r="R19" s="95"/>
      <c r="S19" s="95"/>
      <c r="T19" s="95"/>
      <c r="U19" s="95"/>
      <c r="W19" s="28"/>
      <c r="X19" s="28"/>
      <c r="Y19" s="28"/>
      <c r="Z19" s="28"/>
      <c r="AA19" s="28"/>
      <c r="AB19" s="28"/>
      <c r="AC19" s="28"/>
      <c r="AD19" s="28"/>
      <c r="AE19" s="28"/>
      <c r="AF19" s="28"/>
      <c r="AG19" s="28"/>
    </row>
    <row r="20" spans="1:33" ht="18" customHeight="1" x14ac:dyDescent="0.2">
      <c r="A20" s="81"/>
      <c r="B20" s="157"/>
      <c r="C20" s="95"/>
      <c r="D20" s="95"/>
      <c r="E20" s="95"/>
      <c r="F20" s="95"/>
      <c r="G20" s="95"/>
      <c r="H20" s="95"/>
      <c r="I20" s="95"/>
      <c r="J20" s="95"/>
      <c r="K20" s="95"/>
      <c r="L20" s="95"/>
      <c r="M20" s="95"/>
      <c r="N20" s="95"/>
      <c r="O20" s="95"/>
      <c r="P20" s="95"/>
      <c r="Q20" s="95"/>
      <c r="R20" s="95"/>
      <c r="S20" s="95"/>
      <c r="T20" s="95"/>
      <c r="U20" s="95"/>
      <c r="W20" s="28"/>
      <c r="X20" s="28"/>
      <c r="Y20" s="28"/>
      <c r="Z20" s="28"/>
      <c r="AA20" s="28"/>
      <c r="AB20" s="28"/>
      <c r="AC20" s="28"/>
      <c r="AD20" s="28"/>
      <c r="AE20" s="28"/>
      <c r="AF20" s="28"/>
      <c r="AG20" s="28"/>
    </row>
    <row r="21" spans="1:33" ht="18" customHeight="1" x14ac:dyDescent="0.2">
      <c r="A21" s="81"/>
      <c r="B21" s="157"/>
      <c r="C21" s="95"/>
      <c r="D21" s="95"/>
      <c r="E21" s="95"/>
      <c r="F21" s="95"/>
      <c r="G21" s="95"/>
      <c r="H21" s="95"/>
      <c r="I21" s="95"/>
      <c r="J21" s="95"/>
      <c r="K21" s="95"/>
      <c r="L21" s="95"/>
      <c r="M21" s="95"/>
      <c r="N21" s="95"/>
      <c r="O21" s="95"/>
      <c r="P21" s="95"/>
      <c r="Q21" s="95"/>
      <c r="R21" s="95"/>
      <c r="S21" s="95"/>
      <c r="T21" s="95"/>
      <c r="U21" s="95"/>
      <c r="W21" s="28"/>
      <c r="X21" s="28"/>
      <c r="Y21" s="28"/>
      <c r="Z21" s="28"/>
      <c r="AA21" s="28"/>
      <c r="AB21" s="28"/>
      <c r="AC21" s="28"/>
      <c r="AD21" s="28"/>
      <c r="AE21" s="28"/>
      <c r="AF21" s="28"/>
      <c r="AG21" s="28"/>
    </row>
    <row r="22" spans="1:33" ht="18" customHeight="1" x14ac:dyDescent="0.2">
      <c r="A22" s="81"/>
      <c r="B22" s="157"/>
      <c r="C22" s="95"/>
      <c r="D22" s="95"/>
      <c r="E22" s="95"/>
      <c r="F22" s="95"/>
      <c r="G22" s="95"/>
      <c r="H22" s="95"/>
      <c r="I22" s="95"/>
      <c r="J22" s="95"/>
      <c r="K22" s="95"/>
      <c r="L22" s="95"/>
      <c r="M22" s="95"/>
      <c r="N22" s="95"/>
      <c r="O22" s="95"/>
      <c r="P22" s="95"/>
      <c r="Q22" s="95"/>
      <c r="R22" s="95"/>
      <c r="S22" s="95"/>
      <c r="T22" s="95"/>
      <c r="U22" s="95"/>
      <c r="W22" s="28"/>
      <c r="X22" s="28"/>
      <c r="Y22" s="28"/>
      <c r="Z22" s="28"/>
      <c r="AA22" s="28"/>
      <c r="AB22" s="28"/>
      <c r="AC22" s="28"/>
      <c r="AD22" s="28"/>
      <c r="AE22" s="28"/>
      <c r="AF22" s="28"/>
      <c r="AG22" s="28"/>
    </row>
    <row r="23" spans="1:33" ht="18" customHeight="1" x14ac:dyDescent="0.2">
      <c r="A23" s="81"/>
      <c r="B23" s="167"/>
      <c r="C23" s="95"/>
      <c r="D23" s="95"/>
      <c r="E23" s="95"/>
      <c r="F23" s="95"/>
      <c r="G23" s="95"/>
      <c r="H23" s="95"/>
      <c r="I23" s="95"/>
      <c r="J23" s="95"/>
      <c r="K23" s="95"/>
      <c r="L23" s="95"/>
      <c r="M23" s="95"/>
      <c r="N23" s="95"/>
      <c r="O23" s="95"/>
      <c r="P23" s="95"/>
      <c r="Q23" s="95"/>
      <c r="R23" s="95"/>
      <c r="S23" s="95"/>
      <c r="T23" s="95"/>
      <c r="U23" s="95"/>
      <c r="W23" s="28"/>
      <c r="X23" s="28"/>
      <c r="Y23" s="28"/>
      <c r="Z23" s="28"/>
      <c r="AA23" s="28"/>
      <c r="AB23" s="28"/>
      <c r="AC23" s="28"/>
      <c r="AD23" s="28"/>
      <c r="AE23" s="28"/>
      <c r="AF23" s="28"/>
      <c r="AG23" s="28"/>
    </row>
    <row r="24" spans="1:33" ht="18" customHeight="1" x14ac:dyDescent="0.2">
      <c r="A24" s="81"/>
      <c r="B24" s="167"/>
      <c r="C24" s="95"/>
      <c r="D24" s="95"/>
      <c r="E24" s="95"/>
      <c r="F24" s="95"/>
      <c r="G24" s="95"/>
      <c r="H24" s="95"/>
      <c r="I24" s="95"/>
      <c r="J24" s="95"/>
      <c r="K24" s="95"/>
      <c r="L24" s="95"/>
      <c r="M24" s="95"/>
      <c r="N24" s="95"/>
      <c r="O24" s="95"/>
      <c r="P24" s="95"/>
      <c r="Q24" s="95"/>
      <c r="R24" s="95"/>
      <c r="S24" s="95"/>
      <c r="T24" s="95"/>
      <c r="U24" s="95"/>
      <c r="W24" s="28"/>
      <c r="X24" s="28"/>
      <c r="Y24" s="28"/>
      <c r="Z24" s="28"/>
      <c r="AA24" s="28"/>
      <c r="AB24" s="28"/>
      <c r="AC24" s="28"/>
      <c r="AD24" s="28"/>
      <c r="AE24" s="28"/>
      <c r="AF24" s="28"/>
      <c r="AG24" s="28"/>
    </row>
    <row r="25" spans="1:33" ht="18" customHeight="1" x14ac:dyDescent="0.2">
      <c r="A25" s="74"/>
      <c r="B25" s="167"/>
      <c r="C25" s="95"/>
      <c r="D25" s="95"/>
      <c r="E25" s="95"/>
      <c r="F25" s="95"/>
      <c r="G25" s="95"/>
      <c r="H25" s="95"/>
      <c r="I25" s="95"/>
      <c r="J25" s="95"/>
      <c r="K25" s="95"/>
      <c r="L25" s="95"/>
      <c r="M25" s="95"/>
      <c r="N25" s="95"/>
      <c r="O25" s="95"/>
      <c r="P25" s="95"/>
      <c r="Q25" s="95"/>
      <c r="R25" s="95"/>
      <c r="S25" s="95"/>
      <c r="T25" s="95"/>
      <c r="U25" s="95"/>
      <c r="W25" s="28"/>
      <c r="X25" s="28"/>
      <c r="Y25" s="28"/>
      <c r="Z25" s="28"/>
      <c r="AA25" s="28"/>
      <c r="AB25" s="28"/>
      <c r="AC25" s="28"/>
      <c r="AD25" s="28"/>
      <c r="AE25" s="28"/>
      <c r="AF25" s="28"/>
      <c r="AG25" s="28"/>
    </row>
    <row r="26" spans="1:33" ht="18" customHeight="1" x14ac:dyDescent="0.15">
      <c r="B26" s="157"/>
      <c r="C26" s="100"/>
      <c r="D26" s="100"/>
      <c r="E26" s="100"/>
      <c r="F26" s="100"/>
      <c r="G26" s="100"/>
      <c r="H26" s="100"/>
      <c r="I26" s="100"/>
      <c r="J26" s="100"/>
      <c r="K26" s="100"/>
      <c r="L26" s="100"/>
      <c r="M26" s="100"/>
      <c r="N26" s="100"/>
      <c r="O26" s="100"/>
      <c r="P26" s="100"/>
      <c r="Q26" s="100"/>
      <c r="R26" s="100"/>
      <c r="S26" s="101"/>
      <c r="T26" s="102"/>
      <c r="U26" s="102"/>
      <c r="W26" s="28"/>
      <c r="X26" s="28"/>
      <c r="Y26" s="28"/>
      <c r="Z26" s="28"/>
      <c r="AA26" s="28"/>
      <c r="AB26" s="28"/>
      <c r="AC26" s="28"/>
      <c r="AD26" s="28"/>
      <c r="AE26" s="28"/>
      <c r="AF26" s="28"/>
      <c r="AG26" s="28"/>
    </row>
    <row r="27" spans="1:33" ht="18" customHeight="1" x14ac:dyDescent="0.2">
      <c r="A27" s="81"/>
      <c r="B27" s="167"/>
      <c r="C27" s="95"/>
      <c r="D27" s="95"/>
      <c r="E27" s="95"/>
      <c r="F27" s="95"/>
      <c r="G27" s="95"/>
      <c r="H27" s="95"/>
      <c r="I27" s="95"/>
      <c r="J27" s="95"/>
      <c r="K27" s="95"/>
      <c r="L27" s="95"/>
      <c r="M27" s="95"/>
      <c r="N27" s="95"/>
      <c r="O27" s="95"/>
      <c r="P27" s="95"/>
      <c r="Q27" s="95"/>
      <c r="R27" s="95"/>
      <c r="S27" s="95"/>
      <c r="T27" s="95"/>
      <c r="U27" s="95"/>
      <c r="W27" s="28"/>
      <c r="X27" s="28"/>
      <c r="Y27" s="28"/>
      <c r="Z27" s="28"/>
      <c r="AA27" s="28"/>
      <c r="AB27" s="28"/>
      <c r="AC27" s="28"/>
      <c r="AD27" s="28"/>
      <c r="AE27" s="28"/>
      <c r="AF27" s="28"/>
      <c r="AG27" s="28"/>
    </row>
    <row r="28" spans="1:33" ht="15.75" customHeight="1" x14ac:dyDescent="0.15">
      <c r="C28" s="211" t="s">
        <v>67</v>
      </c>
      <c r="D28" s="211"/>
      <c r="E28" s="211"/>
      <c r="F28" s="211"/>
      <c r="G28" s="211"/>
      <c r="H28" s="211"/>
      <c r="I28" s="211"/>
      <c r="J28" s="211"/>
      <c r="K28" s="211"/>
      <c r="L28" s="70"/>
      <c r="M28" s="211" t="s">
        <v>68</v>
      </c>
      <c r="N28" s="211"/>
      <c r="O28" s="211"/>
      <c r="P28" s="211"/>
      <c r="Q28" s="211"/>
      <c r="R28" s="211"/>
      <c r="S28" s="211"/>
      <c r="T28" s="211"/>
      <c r="U28" s="211"/>
      <c r="W28" s="28"/>
      <c r="X28" s="28"/>
      <c r="Y28" s="28"/>
      <c r="Z28" s="28"/>
      <c r="AA28" s="28"/>
      <c r="AB28" s="28"/>
      <c r="AC28" s="28"/>
      <c r="AD28" s="28"/>
      <c r="AE28" s="28"/>
      <c r="AF28" s="28"/>
      <c r="AG28" s="28"/>
    </row>
    <row r="29" spans="1:33" ht="15.75" customHeight="1" x14ac:dyDescent="0.15">
      <c r="C29" s="98" t="s">
        <v>63</v>
      </c>
      <c r="D29" s="216" t="s">
        <v>64</v>
      </c>
      <c r="E29" s="214"/>
      <c r="F29" s="214"/>
      <c r="G29" s="215"/>
      <c r="H29" s="213" t="s">
        <v>65</v>
      </c>
      <c r="I29" s="214"/>
      <c r="J29" s="214"/>
      <c r="K29" s="215"/>
      <c r="L29" s="70"/>
      <c r="M29" s="98" t="s">
        <v>63</v>
      </c>
      <c r="N29" s="216" t="s">
        <v>64</v>
      </c>
      <c r="O29" s="214"/>
      <c r="P29" s="214"/>
      <c r="Q29" s="215"/>
      <c r="R29" s="213" t="s">
        <v>65</v>
      </c>
      <c r="S29" s="214"/>
      <c r="T29" s="214"/>
      <c r="U29" s="215"/>
      <c r="W29" s="28"/>
      <c r="X29" s="28"/>
      <c r="Y29" s="28"/>
      <c r="Z29" s="28"/>
      <c r="AA29" s="28"/>
      <c r="AB29" s="28"/>
      <c r="AC29" s="28"/>
      <c r="AD29" s="28"/>
      <c r="AE29" s="28"/>
      <c r="AF29" s="28"/>
      <c r="AG29" s="28"/>
    </row>
    <row r="30" spans="1:33" ht="27" customHeight="1" x14ac:dyDescent="0.2">
      <c r="A30" s="74"/>
      <c r="B30" s="156" t="s">
        <v>47</v>
      </c>
      <c r="C30" s="99" t="s">
        <v>51</v>
      </c>
      <c r="D30" s="75" t="s">
        <v>48</v>
      </c>
      <c r="E30" s="76" t="s">
        <v>49</v>
      </c>
      <c r="F30" s="76" t="s">
        <v>66</v>
      </c>
      <c r="G30" s="77" t="s">
        <v>51</v>
      </c>
      <c r="H30" s="75" t="s">
        <v>48</v>
      </c>
      <c r="I30" s="76" t="s">
        <v>49</v>
      </c>
      <c r="J30" s="76" t="s">
        <v>66</v>
      </c>
      <c r="K30" s="77" t="s">
        <v>51</v>
      </c>
      <c r="L30" s="78"/>
      <c r="M30" s="99" t="s">
        <v>51</v>
      </c>
      <c r="N30" s="75" t="s">
        <v>48</v>
      </c>
      <c r="O30" s="76" t="s">
        <v>49</v>
      </c>
      <c r="P30" s="76" t="s">
        <v>66</v>
      </c>
      <c r="Q30" s="77" t="s">
        <v>51</v>
      </c>
      <c r="R30" s="75" t="s">
        <v>48</v>
      </c>
      <c r="S30" s="76" t="s">
        <v>49</v>
      </c>
      <c r="T30" s="76" t="s">
        <v>66</v>
      </c>
      <c r="U30" s="77" t="s">
        <v>51</v>
      </c>
      <c r="W30" s="28"/>
      <c r="X30" s="28"/>
      <c r="Y30" s="28"/>
      <c r="Z30" s="28"/>
      <c r="AA30" s="28"/>
      <c r="AB30" s="28"/>
      <c r="AC30" s="28"/>
      <c r="AD30" s="28"/>
      <c r="AE30" s="28"/>
      <c r="AF30" s="28"/>
      <c r="AG30" s="28"/>
    </row>
    <row r="31" spans="1:33" ht="18" customHeight="1" x14ac:dyDescent="0.2">
      <c r="A31" s="81"/>
      <c r="B31" s="137" t="s">
        <v>52</v>
      </c>
      <c r="C31" s="161">
        <v>45584</v>
      </c>
      <c r="D31" s="161">
        <v>18052.788019498399</v>
      </c>
      <c r="E31" s="165">
        <v>10239.211980501501</v>
      </c>
      <c r="F31" s="165">
        <v>0</v>
      </c>
      <c r="G31" s="165">
        <v>28292</v>
      </c>
      <c r="H31" s="161">
        <v>7279217.60742574</v>
      </c>
      <c r="I31" s="165">
        <v>5097892.3625742504</v>
      </c>
      <c r="J31" s="165">
        <v>0</v>
      </c>
      <c r="K31" s="165">
        <v>12377109.970000001</v>
      </c>
      <c r="L31" s="162"/>
      <c r="M31" s="161">
        <v>47152</v>
      </c>
      <c r="N31" s="161">
        <v>15045.947897731499</v>
      </c>
      <c r="O31" s="165">
        <v>12147.052102268401</v>
      </c>
      <c r="P31" s="165">
        <v>0</v>
      </c>
      <c r="Q31" s="165">
        <v>27193</v>
      </c>
      <c r="R31" s="161">
        <v>5292165.8675723197</v>
      </c>
      <c r="S31" s="165">
        <v>5596475.9824276697</v>
      </c>
      <c r="T31" s="165">
        <v>0</v>
      </c>
      <c r="U31" s="165">
        <v>10888641.85</v>
      </c>
      <c r="V31" s="141"/>
      <c r="W31" s="28"/>
      <c r="X31" s="28"/>
      <c r="Y31" s="28"/>
      <c r="Z31" s="28"/>
      <c r="AA31" s="28"/>
      <c r="AB31" s="28"/>
      <c r="AC31" s="28"/>
      <c r="AD31" s="28"/>
      <c r="AE31" s="28"/>
      <c r="AF31" s="28"/>
      <c r="AG31" s="28"/>
    </row>
    <row r="32" spans="1:33" ht="18" customHeight="1" x14ac:dyDescent="0.2">
      <c r="A32" s="81"/>
      <c r="B32" s="142" t="s">
        <v>53</v>
      </c>
      <c r="C32" s="163">
        <v>90496</v>
      </c>
      <c r="D32" s="163">
        <v>42836.805605565103</v>
      </c>
      <c r="E32" s="164">
        <v>20598.684837343</v>
      </c>
      <c r="F32" s="164">
        <v>2610.5095570918202</v>
      </c>
      <c r="G32" s="164">
        <v>66046</v>
      </c>
      <c r="H32" s="163">
        <v>14390976.200192099</v>
      </c>
      <c r="I32" s="164">
        <v>6045823.9952884596</v>
      </c>
      <c r="J32" s="164">
        <v>1301223.59451938</v>
      </c>
      <c r="K32" s="164">
        <v>21738023.789999999</v>
      </c>
      <c r="L32" s="162"/>
      <c r="M32" s="163">
        <v>89796</v>
      </c>
      <c r="N32" s="163">
        <v>40872.067339423797</v>
      </c>
      <c r="O32" s="164">
        <v>17263.809026986</v>
      </c>
      <c r="P32" s="164">
        <v>3764.1236335900999</v>
      </c>
      <c r="Q32" s="164">
        <v>61900</v>
      </c>
      <c r="R32" s="163">
        <v>13424580.8089936</v>
      </c>
      <c r="S32" s="164">
        <v>5364098.6389762703</v>
      </c>
      <c r="T32" s="164">
        <v>1719189.6020301101</v>
      </c>
      <c r="U32" s="164">
        <v>20507869.050000001</v>
      </c>
      <c r="V32" s="141"/>
      <c r="W32" s="28"/>
      <c r="X32" s="28"/>
      <c r="Y32" s="28"/>
      <c r="Z32" s="28"/>
      <c r="AA32" s="28"/>
      <c r="AB32" s="28"/>
      <c r="AC32" s="28"/>
      <c r="AD32" s="28"/>
      <c r="AE32" s="28"/>
      <c r="AF32" s="28"/>
      <c r="AG32" s="28"/>
    </row>
    <row r="33" spans="1:33" ht="18" customHeight="1" x14ac:dyDescent="0.2">
      <c r="A33" s="81"/>
      <c r="B33" s="147" t="s">
        <v>54</v>
      </c>
      <c r="C33" s="162">
        <v>75852</v>
      </c>
      <c r="D33" s="162">
        <v>40046.962853571902</v>
      </c>
      <c r="E33" s="95">
        <v>18411.805372760999</v>
      </c>
      <c r="F33" s="95">
        <v>18.231773667029302</v>
      </c>
      <c r="G33" s="95">
        <v>58477</v>
      </c>
      <c r="H33" s="162">
        <v>12686555.868765799</v>
      </c>
      <c r="I33" s="95">
        <v>5191881.1943445904</v>
      </c>
      <c r="J33" s="95">
        <v>10614.8968895818</v>
      </c>
      <c r="K33" s="95">
        <v>17889051.960000001</v>
      </c>
      <c r="L33" s="162"/>
      <c r="M33" s="162">
        <v>76160</v>
      </c>
      <c r="N33" s="162">
        <v>43764.376200810999</v>
      </c>
      <c r="O33" s="95">
        <v>12410.2887852082</v>
      </c>
      <c r="P33" s="95">
        <v>8.3350139806616497</v>
      </c>
      <c r="Q33" s="95">
        <v>56183</v>
      </c>
      <c r="R33" s="162">
        <v>11729183.127289001</v>
      </c>
      <c r="S33" s="95">
        <v>3611539.0212615901</v>
      </c>
      <c r="T33" s="95">
        <v>3618.1914493305799</v>
      </c>
      <c r="U33" s="95">
        <v>15344340.34</v>
      </c>
      <c r="V33" s="141"/>
      <c r="W33" s="28"/>
      <c r="X33" s="28"/>
      <c r="Y33" s="28"/>
      <c r="Z33" s="28"/>
      <c r="AA33" s="28"/>
      <c r="AB33" s="28"/>
      <c r="AC33" s="28"/>
      <c r="AD33" s="28"/>
      <c r="AE33" s="28"/>
      <c r="AF33" s="28"/>
      <c r="AG33" s="28"/>
    </row>
    <row r="34" spans="1:33" ht="18" customHeight="1" x14ac:dyDescent="0.2">
      <c r="A34" s="81"/>
      <c r="B34" s="142" t="s">
        <v>55</v>
      </c>
      <c r="C34" s="163">
        <v>103768</v>
      </c>
      <c r="D34" s="163">
        <v>66152.388830779702</v>
      </c>
      <c r="E34" s="164">
        <v>10973.7746114274</v>
      </c>
      <c r="F34" s="164">
        <v>2516.8365577928198</v>
      </c>
      <c r="G34" s="164">
        <v>79643</v>
      </c>
      <c r="H34" s="163">
        <v>19013194.727804501</v>
      </c>
      <c r="I34" s="164">
        <v>2923379.9778167801</v>
      </c>
      <c r="J34" s="164">
        <v>443142.66437868099</v>
      </c>
      <c r="K34" s="164">
        <v>22379717.370000001</v>
      </c>
      <c r="L34" s="162"/>
      <c r="M34" s="163">
        <v>103768</v>
      </c>
      <c r="N34" s="163">
        <v>62566.182947189998</v>
      </c>
      <c r="O34" s="164">
        <v>10832.9422063971</v>
      </c>
      <c r="P34" s="164">
        <v>2020.87484641278</v>
      </c>
      <c r="Q34" s="164">
        <v>75420</v>
      </c>
      <c r="R34" s="163">
        <v>16795744.773150999</v>
      </c>
      <c r="S34" s="164">
        <v>3075057.1359911701</v>
      </c>
      <c r="T34" s="164">
        <v>328683.79085777298</v>
      </c>
      <c r="U34" s="164">
        <v>20199485.699999999</v>
      </c>
      <c r="V34" s="141"/>
      <c r="W34" s="28"/>
      <c r="X34" s="28"/>
      <c r="Y34" s="28"/>
      <c r="Z34" s="28"/>
      <c r="AA34" s="28"/>
      <c r="AB34" s="28"/>
      <c r="AC34" s="28"/>
      <c r="AD34" s="28"/>
      <c r="AE34" s="28"/>
      <c r="AF34" s="28"/>
      <c r="AG34" s="28"/>
    </row>
    <row r="35" spans="1:33" ht="18" customHeight="1" x14ac:dyDescent="0.2">
      <c r="A35" s="81"/>
      <c r="B35" s="147" t="s">
        <v>56</v>
      </c>
      <c r="C35" s="162">
        <v>164556</v>
      </c>
      <c r="D35" s="162">
        <v>90811.318923663595</v>
      </c>
      <c r="E35" s="95">
        <v>33335.967712417201</v>
      </c>
      <c r="F35" s="95">
        <v>1591.7133639190499</v>
      </c>
      <c r="G35" s="95">
        <v>125739</v>
      </c>
      <c r="H35" s="162">
        <v>25409947.438539401</v>
      </c>
      <c r="I35" s="95">
        <v>8242931.4313920699</v>
      </c>
      <c r="J35" s="95">
        <v>213578.440068478</v>
      </c>
      <c r="K35" s="95">
        <v>33866457.310000002</v>
      </c>
      <c r="L35" s="162"/>
      <c r="M35" s="162">
        <v>163856</v>
      </c>
      <c r="N35" s="162">
        <v>93432.797690823907</v>
      </c>
      <c r="O35" s="95">
        <v>31030.869430583702</v>
      </c>
      <c r="P35" s="95">
        <v>1559.3328785922099</v>
      </c>
      <c r="Q35" s="95">
        <v>126023</v>
      </c>
      <c r="R35" s="162">
        <v>23972098.408208702</v>
      </c>
      <c r="S35" s="95">
        <v>7081658.0470359595</v>
      </c>
      <c r="T35" s="95">
        <v>218254.00475527</v>
      </c>
      <c r="U35" s="95">
        <v>31272010.460000001</v>
      </c>
      <c r="V35" s="141"/>
      <c r="W35" s="28"/>
      <c r="X35" s="28"/>
      <c r="Y35" s="28"/>
      <c r="Z35" s="28"/>
      <c r="AA35" s="28"/>
      <c r="AB35" s="28"/>
      <c r="AC35" s="28"/>
      <c r="AD35" s="28"/>
      <c r="AE35" s="28"/>
      <c r="AF35" s="28"/>
      <c r="AG35" s="28"/>
    </row>
    <row r="36" spans="1:33" ht="18" customHeight="1" x14ac:dyDescent="0.2">
      <c r="A36" s="81"/>
      <c r="B36" s="142" t="s">
        <v>57</v>
      </c>
      <c r="C36" s="163">
        <v>67004</v>
      </c>
      <c r="D36" s="163">
        <v>32811.301448876402</v>
      </c>
      <c r="E36" s="164">
        <v>18923.6985511235</v>
      </c>
      <c r="F36" s="164">
        <v>0</v>
      </c>
      <c r="G36" s="164">
        <v>51735</v>
      </c>
      <c r="H36" s="163">
        <v>7950606.7455297504</v>
      </c>
      <c r="I36" s="164">
        <v>5222743.8144702399</v>
      </c>
      <c r="J36" s="164">
        <v>0</v>
      </c>
      <c r="K36" s="164">
        <v>13173350.560000001</v>
      </c>
      <c r="L36" s="162"/>
      <c r="M36" s="163">
        <v>67004</v>
      </c>
      <c r="N36" s="163">
        <v>30047.284900355899</v>
      </c>
      <c r="O36" s="164">
        <v>17805.715099644</v>
      </c>
      <c r="P36" s="164">
        <v>0</v>
      </c>
      <c r="Q36" s="164">
        <v>47853</v>
      </c>
      <c r="R36" s="163">
        <v>7042813.1868341798</v>
      </c>
      <c r="S36" s="164">
        <v>4695967.5131658101</v>
      </c>
      <c r="T36" s="164">
        <v>0</v>
      </c>
      <c r="U36" s="164">
        <v>11738780.699999999</v>
      </c>
      <c r="V36" s="141"/>
      <c r="W36" s="28"/>
      <c r="X36" s="28"/>
      <c r="Y36" s="28"/>
      <c r="Z36" s="28"/>
      <c r="AA36" s="28"/>
      <c r="AB36" s="28"/>
      <c r="AC36" s="28"/>
      <c r="AD36" s="28"/>
      <c r="AE36" s="28"/>
      <c r="AF36" s="28"/>
      <c r="AG36" s="28"/>
    </row>
    <row r="37" spans="1:33" ht="18" customHeight="1" x14ac:dyDescent="0.2">
      <c r="A37" s="81"/>
      <c r="B37" s="152"/>
      <c r="C37" s="165"/>
      <c r="D37" s="165"/>
      <c r="E37" s="165"/>
      <c r="F37" s="165"/>
      <c r="G37" s="165"/>
      <c r="H37" s="165"/>
      <c r="I37" s="165"/>
      <c r="J37" s="165"/>
      <c r="K37" s="165"/>
      <c r="L37" s="95"/>
      <c r="M37" s="165"/>
      <c r="N37" s="165"/>
      <c r="O37" s="165"/>
      <c r="P37" s="165"/>
      <c r="Q37" s="165"/>
      <c r="R37" s="165"/>
      <c r="S37" s="165"/>
      <c r="T37" s="165"/>
      <c r="U37" s="165"/>
      <c r="W37" s="28"/>
      <c r="X37" s="28"/>
      <c r="Y37" s="28"/>
      <c r="Z37" s="28"/>
      <c r="AA37" s="28"/>
      <c r="AB37" s="28"/>
      <c r="AC37" s="28"/>
      <c r="AD37" s="28"/>
      <c r="AE37" s="28"/>
      <c r="AF37" s="28"/>
      <c r="AG37" s="28"/>
    </row>
    <row r="38" spans="1:33" ht="18" customHeight="1" x14ac:dyDescent="0.2">
      <c r="A38" s="81"/>
      <c r="B38" s="157"/>
      <c r="C38" s="95"/>
      <c r="D38" s="95"/>
      <c r="E38" s="95"/>
      <c r="F38" s="95"/>
      <c r="G38" s="95"/>
      <c r="H38" s="95"/>
      <c r="I38" s="95"/>
      <c r="J38" s="95"/>
      <c r="K38" s="95"/>
      <c r="L38" s="95"/>
      <c r="M38" s="95"/>
      <c r="N38" s="95"/>
      <c r="O38" s="95"/>
      <c r="P38" s="95"/>
      <c r="Q38" s="95"/>
      <c r="R38" s="95"/>
      <c r="S38" s="95"/>
      <c r="T38" s="95"/>
      <c r="U38" s="95"/>
      <c r="W38" s="28"/>
      <c r="X38" s="28"/>
      <c r="Y38" s="28"/>
      <c r="Z38" s="28"/>
      <c r="AA38" s="28"/>
      <c r="AB38" s="28"/>
      <c r="AC38" s="28"/>
      <c r="AD38" s="28"/>
      <c r="AE38" s="28"/>
      <c r="AF38" s="28"/>
      <c r="AG38" s="28"/>
    </row>
    <row r="39" spans="1:33" ht="18" customHeight="1" x14ac:dyDescent="0.2">
      <c r="A39" s="81"/>
      <c r="B39" s="157"/>
      <c r="C39" s="95"/>
      <c r="D39" s="95"/>
      <c r="E39" s="95"/>
      <c r="F39" s="95"/>
      <c r="G39" s="95"/>
      <c r="H39" s="95"/>
      <c r="I39" s="95"/>
      <c r="J39" s="95"/>
      <c r="K39" s="95"/>
      <c r="L39" s="95"/>
      <c r="M39" s="95"/>
      <c r="N39" s="95"/>
      <c r="O39" s="95"/>
      <c r="P39" s="95"/>
      <c r="Q39" s="95"/>
      <c r="R39" s="95"/>
      <c r="S39" s="95"/>
      <c r="T39" s="95"/>
      <c r="U39" s="95"/>
      <c r="W39" s="28"/>
      <c r="X39" s="28"/>
      <c r="Y39" s="28"/>
      <c r="Z39" s="28"/>
      <c r="AA39" s="28"/>
      <c r="AB39" s="28"/>
      <c r="AC39" s="28"/>
      <c r="AD39" s="28"/>
      <c r="AE39" s="28"/>
      <c r="AF39" s="28"/>
      <c r="AG39" s="28"/>
    </row>
    <row r="40" spans="1:33" ht="18" customHeight="1" x14ac:dyDescent="0.2">
      <c r="A40" s="81"/>
      <c r="B40" s="157"/>
      <c r="C40" s="95"/>
      <c r="D40" s="95"/>
      <c r="E40" s="95"/>
      <c r="F40" s="95"/>
      <c r="G40" s="95"/>
      <c r="H40" s="95"/>
      <c r="I40" s="95"/>
      <c r="J40" s="95"/>
      <c r="K40" s="95"/>
      <c r="L40" s="95"/>
      <c r="M40" s="95"/>
      <c r="N40" s="95"/>
      <c r="O40" s="95"/>
      <c r="P40" s="95"/>
      <c r="Q40" s="95"/>
      <c r="R40" s="95"/>
      <c r="S40" s="95"/>
      <c r="T40" s="95"/>
      <c r="U40" s="95"/>
      <c r="W40" s="28"/>
      <c r="X40" s="28"/>
      <c r="Y40" s="28"/>
      <c r="Z40" s="28"/>
      <c r="AA40" s="28"/>
      <c r="AB40" s="28"/>
      <c r="AC40" s="28"/>
      <c r="AD40" s="28"/>
      <c r="AE40" s="28"/>
      <c r="AF40" s="28"/>
      <c r="AG40" s="28"/>
    </row>
    <row r="41" spans="1:33" ht="18" customHeight="1" x14ac:dyDescent="0.2">
      <c r="A41" s="81"/>
      <c r="B41" s="157"/>
      <c r="C41" s="95"/>
      <c r="D41" s="95"/>
      <c r="E41" s="95"/>
      <c r="F41" s="95"/>
      <c r="G41" s="95"/>
      <c r="H41" s="95"/>
      <c r="I41" s="95"/>
      <c r="J41" s="95"/>
      <c r="K41" s="95"/>
      <c r="L41" s="95"/>
      <c r="M41" s="95"/>
      <c r="N41" s="95"/>
      <c r="O41" s="95"/>
      <c r="P41" s="95"/>
      <c r="Q41" s="95"/>
      <c r="R41" s="95"/>
      <c r="S41" s="95"/>
      <c r="T41" s="95"/>
      <c r="U41" s="95"/>
      <c r="W41" s="28"/>
      <c r="X41" s="28"/>
      <c r="Y41" s="28"/>
      <c r="Z41" s="28"/>
      <c r="AA41" s="28"/>
      <c r="AB41" s="28"/>
      <c r="AC41" s="28"/>
      <c r="AD41" s="28"/>
      <c r="AE41" s="28"/>
      <c r="AF41" s="28"/>
      <c r="AG41" s="28"/>
    </row>
    <row r="42" spans="1:33" ht="18" customHeight="1" x14ac:dyDescent="0.2">
      <c r="A42" s="74"/>
      <c r="B42" s="157"/>
      <c r="C42" s="95"/>
      <c r="D42" s="95"/>
      <c r="E42" s="95"/>
      <c r="F42" s="95"/>
      <c r="G42" s="95"/>
      <c r="H42" s="95"/>
      <c r="I42" s="95"/>
      <c r="J42" s="95"/>
      <c r="K42" s="95"/>
      <c r="L42" s="95"/>
      <c r="M42" s="95"/>
      <c r="N42" s="95"/>
      <c r="O42" s="95"/>
      <c r="P42" s="95"/>
      <c r="Q42" s="95"/>
      <c r="R42" s="95"/>
      <c r="S42" s="95"/>
      <c r="T42" s="95"/>
      <c r="U42" s="95"/>
      <c r="W42" s="28"/>
      <c r="X42" s="28"/>
      <c r="Y42" s="28"/>
      <c r="Z42" s="28"/>
      <c r="AA42" s="28"/>
      <c r="AB42" s="28"/>
      <c r="AC42" s="28"/>
      <c r="AD42" s="28"/>
      <c r="AE42" s="28"/>
      <c r="AF42" s="28"/>
      <c r="AG42" s="28"/>
    </row>
    <row r="43" spans="1:33" ht="18" customHeight="1" x14ac:dyDescent="0.2">
      <c r="A43" s="81"/>
      <c r="B43" s="157"/>
      <c r="C43" s="95"/>
      <c r="D43" s="95"/>
      <c r="E43" s="95"/>
      <c r="F43" s="95"/>
      <c r="G43" s="95"/>
      <c r="H43" s="95"/>
      <c r="I43" s="95"/>
      <c r="J43" s="95"/>
      <c r="K43" s="95"/>
      <c r="L43" s="95"/>
      <c r="M43" s="95"/>
      <c r="N43" s="95"/>
      <c r="O43" s="95"/>
      <c r="P43" s="95"/>
      <c r="Q43" s="95"/>
      <c r="R43" s="95"/>
      <c r="S43" s="95"/>
      <c r="T43" s="95"/>
      <c r="U43" s="95"/>
      <c r="W43" s="28"/>
      <c r="X43" s="28"/>
      <c r="Y43" s="28"/>
      <c r="Z43" s="28"/>
      <c r="AA43" s="28"/>
      <c r="AB43" s="28"/>
      <c r="AC43" s="28"/>
      <c r="AD43" s="28"/>
      <c r="AE43" s="28"/>
      <c r="AF43" s="28"/>
      <c r="AG43" s="28"/>
    </row>
    <row r="44" spans="1:33" ht="18" customHeight="1" x14ac:dyDescent="0.15">
      <c r="A44" s="68"/>
      <c r="B44" s="167"/>
      <c r="C44" s="95"/>
      <c r="D44" s="95"/>
      <c r="E44" s="95"/>
      <c r="F44" s="95"/>
      <c r="G44" s="95"/>
      <c r="H44" s="95"/>
      <c r="I44" s="95"/>
      <c r="J44" s="95"/>
      <c r="K44" s="95"/>
      <c r="L44" s="95"/>
      <c r="M44" s="95"/>
      <c r="N44" s="95"/>
      <c r="O44" s="95"/>
      <c r="P44" s="95"/>
      <c r="Q44" s="95"/>
      <c r="R44" s="95"/>
      <c r="S44" s="95"/>
      <c r="T44" s="95"/>
      <c r="U44" s="95"/>
      <c r="V44" s="86"/>
      <c r="W44" s="28"/>
      <c r="X44" s="28"/>
      <c r="Y44" s="28"/>
      <c r="Z44" s="28"/>
      <c r="AA44" s="28"/>
      <c r="AB44" s="28"/>
      <c r="AC44" s="28"/>
      <c r="AD44" s="28"/>
      <c r="AE44" s="28"/>
      <c r="AF44" s="28"/>
      <c r="AG44" s="28"/>
    </row>
    <row r="45" spans="1:33" ht="18" customHeight="1" x14ac:dyDescent="0.15">
      <c r="A45" s="68"/>
      <c r="B45" s="167"/>
      <c r="C45" s="95"/>
      <c r="D45" s="95"/>
      <c r="E45" s="95"/>
      <c r="F45" s="95"/>
      <c r="G45" s="95"/>
      <c r="H45" s="95"/>
      <c r="I45" s="95"/>
      <c r="J45" s="95"/>
      <c r="K45" s="95"/>
      <c r="L45" s="95"/>
      <c r="M45" s="95"/>
      <c r="N45" s="95"/>
      <c r="O45" s="95"/>
      <c r="P45" s="95"/>
      <c r="Q45" s="95"/>
      <c r="R45" s="95"/>
      <c r="S45" s="95"/>
      <c r="T45" s="95"/>
      <c r="U45" s="95"/>
      <c r="V45" s="86"/>
      <c r="W45" s="28"/>
      <c r="X45" s="28"/>
      <c r="Y45" s="28"/>
      <c r="Z45" s="28"/>
      <c r="AA45" s="28"/>
      <c r="AB45" s="28"/>
      <c r="AC45" s="28"/>
      <c r="AD45" s="28"/>
      <c r="AE45" s="28"/>
      <c r="AF45" s="28"/>
      <c r="AG45" s="28"/>
    </row>
    <row r="46" spans="1:33" ht="18" customHeight="1" x14ac:dyDescent="0.15">
      <c r="A46" s="68"/>
      <c r="B46" s="167"/>
      <c r="C46" s="95"/>
      <c r="D46" s="95"/>
      <c r="E46" s="95"/>
      <c r="F46" s="95"/>
      <c r="G46" s="95"/>
      <c r="H46" s="95"/>
      <c r="I46" s="95"/>
      <c r="J46" s="95"/>
      <c r="K46" s="95"/>
      <c r="L46" s="95"/>
      <c r="M46" s="95"/>
      <c r="N46" s="95"/>
      <c r="O46" s="95"/>
      <c r="P46" s="95"/>
      <c r="Q46" s="95"/>
      <c r="R46" s="95"/>
      <c r="S46" s="95"/>
      <c r="T46" s="95"/>
      <c r="U46" s="95"/>
      <c r="V46" s="86"/>
      <c r="W46" s="28"/>
      <c r="X46" s="28"/>
      <c r="Y46" s="28"/>
      <c r="Z46" s="28"/>
      <c r="AA46" s="28"/>
      <c r="AB46" s="28"/>
      <c r="AC46" s="28"/>
      <c r="AD46" s="28"/>
      <c r="AE46" s="28"/>
      <c r="AF46" s="28"/>
      <c r="AG46" s="28"/>
    </row>
    <row r="47" spans="1:33" ht="18" customHeight="1" x14ac:dyDescent="0.15">
      <c r="A47" s="68"/>
      <c r="B47" s="167"/>
      <c r="C47" s="95"/>
      <c r="D47" s="95"/>
      <c r="E47" s="95"/>
      <c r="F47" s="95"/>
      <c r="G47" s="95"/>
      <c r="H47" s="95"/>
      <c r="I47" s="95"/>
      <c r="J47" s="95"/>
      <c r="K47" s="95"/>
      <c r="L47" s="95"/>
      <c r="M47" s="95"/>
      <c r="N47" s="95"/>
      <c r="O47" s="95"/>
      <c r="P47" s="95"/>
      <c r="Q47" s="95"/>
      <c r="R47" s="95"/>
      <c r="S47" s="95"/>
      <c r="T47" s="95"/>
      <c r="U47" s="95"/>
      <c r="V47" s="86"/>
      <c r="W47" s="28"/>
      <c r="X47" s="28"/>
      <c r="Y47" s="28"/>
      <c r="Z47" s="28"/>
      <c r="AA47" s="28"/>
      <c r="AB47" s="28"/>
      <c r="AC47" s="28"/>
      <c r="AD47" s="28"/>
      <c r="AE47" s="28"/>
      <c r="AF47" s="28"/>
      <c r="AG47" s="28"/>
    </row>
    <row r="48" spans="1:33" ht="18" customHeight="1" x14ac:dyDescent="0.15">
      <c r="A48" s="68"/>
      <c r="B48" s="167"/>
      <c r="C48" s="85"/>
      <c r="D48" s="85"/>
      <c r="E48" s="85"/>
      <c r="F48" s="85"/>
      <c r="G48" s="85"/>
      <c r="H48" s="85"/>
      <c r="I48" s="85"/>
      <c r="J48" s="85"/>
      <c r="K48" s="85"/>
      <c r="L48" s="85"/>
      <c r="M48" s="85"/>
      <c r="N48" s="85"/>
      <c r="O48" s="85"/>
      <c r="P48" s="85"/>
      <c r="Q48" s="85"/>
      <c r="R48" s="85"/>
      <c r="S48" s="103"/>
      <c r="T48" s="85"/>
      <c r="U48" s="85"/>
      <c r="V48" s="86"/>
      <c r="W48" s="28"/>
      <c r="X48" s="28"/>
      <c r="Y48" s="28"/>
      <c r="Z48" s="28"/>
      <c r="AA48" s="28"/>
      <c r="AB48" s="28"/>
      <c r="AC48" s="28"/>
      <c r="AD48" s="28"/>
      <c r="AE48" s="28"/>
      <c r="AF48" s="28"/>
      <c r="AG48" s="28"/>
    </row>
    <row r="49" spans="1:50" ht="18" customHeight="1" x14ac:dyDescent="0.15">
      <c r="B49" s="167"/>
      <c r="C49" s="58"/>
      <c r="D49" s="58"/>
      <c r="E49" s="58"/>
      <c r="F49" s="58"/>
      <c r="G49" s="58"/>
      <c r="H49" s="58"/>
      <c r="I49" s="58"/>
      <c r="J49" s="58"/>
      <c r="K49" s="58"/>
      <c r="L49" s="58"/>
      <c r="M49" s="58"/>
      <c r="N49" s="58"/>
      <c r="O49" s="58"/>
      <c r="P49" s="58"/>
      <c r="Q49" s="58"/>
      <c r="R49" s="58"/>
      <c r="S49" s="94"/>
      <c r="T49" s="58"/>
      <c r="U49" s="58"/>
      <c r="W49" s="28"/>
      <c r="X49" s="28"/>
      <c r="Y49" s="28"/>
      <c r="Z49" s="28"/>
      <c r="AA49" s="28"/>
      <c r="AB49" s="28"/>
      <c r="AC49" s="28"/>
      <c r="AD49" s="28"/>
      <c r="AE49" s="28"/>
      <c r="AF49" s="28"/>
      <c r="AG49" s="28"/>
    </row>
    <row r="50" spans="1:50" ht="18" customHeight="1" x14ac:dyDescent="0.15">
      <c r="B50" s="167"/>
      <c r="C50" s="58"/>
      <c r="D50" s="58"/>
      <c r="E50" s="58"/>
      <c r="F50" s="58"/>
      <c r="G50" s="58"/>
      <c r="H50" s="58"/>
      <c r="I50" s="58"/>
      <c r="J50" s="58"/>
      <c r="K50" s="58"/>
      <c r="L50" s="58"/>
      <c r="M50" s="58"/>
      <c r="N50" s="58"/>
      <c r="O50" s="58"/>
      <c r="P50" s="58"/>
      <c r="Q50" s="58"/>
      <c r="R50" s="58"/>
      <c r="S50" s="94"/>
      <c r="T50" s="58"/>
      <c r="U50" s="58"/>
      <c r="W50" s="28"/>
      <c r="X50" s="28"/>
      <c r="Y50" s="28"/>
      <c r="Z50" s="28"/>
      <c r="AA50" s="28"/>
      <c r="AB50" s="28"/>
      <c r="AC50" s="28"/>
      <c r="AD50" s="28"/>
      <c r="AE50" s="28"/>
      <c r="AF50" s="28"/>
      <c r="AG50" s="28"/>
    </row>
    <row r="51" spans="1:50" ht="18" customHeight="1" x14ac:dyDescent="0.15">
      <c r="B51" s="167"/>
      <c r="C51" s="58"/>
      <c r="D51" s="58"/>
      <c r="E51" s="58"/>
      <c r="F51" s="58"/>
      <c r="G51" s="58"/>
      <c r="H51" s="58"/>
      <c r="I51" s="58"/>
      <c r="J51" s="58"/>
      <c r="K51" s="58"/>
      <c r="L51" s="58"/>
      <c r="M51" s="58"/>
      <c r="N51" s="58"/>
      <c r="O51" s="58"/>
      <c r="P51" s="58"/>
      <c r="Q51" s="58"/>
      <c r="R51" s="58"/>
      <c r="S51" s="94"/>
      <c r="T51" s="58"/>
      <c r="U51" s="58"/>
      <c r="W51" s="28"/>
      <c r="X51" s="28"/>
      <c r="Y51" s="28"/>
      <c r="Z51" s="28"/>
      <c r="AA51" s="28"/>
      <c r="AB51" s="28"/>
      <c r="AC51" s="28"/>
      <c r="AD51" s="28"/>
      <c r="AE51" s="28"/>
      <c r="AF51" s="28"/>
      <c r="AG51" s="28"/>
    </row>
    <row r="52" spans="1:50" ht="18" customHeight="1" x14ac:dyDescent="0.15">
      <c r="B52" s="167"/>
      <c r="C52" s="58"/>
      <c r="D52" s="58"/>
      <c r="E52" s="58"/>
      <c r="F52" s="58"/>
      <c r="G52" s="58"/>
      <c r="H52" s="58"/>
      <c r="I52" s="58"/>
      <c r="J52" s="58"/>
      <c r="K52" s="58"/>
      <c r="L52" s="58"/>
      <c r="M52" s="58"/>
      <c r="N52" s="58"/>
      <c r="O52" s="58"/>
      <c r="P52" s="58"/>
      <c r="Q52" s="58"/>
      <c r="R52" s="58"/>
      <c r="S52" s="94"/>
      <c r="T52" s="58"/>
      <c r="U52" s="58"/>
      <c r="W52" s="28"/>
      <c r="X52" s="28"/>
      <c r="Y52" s="28"/>
      <c r="Z52" s="28"/>
      <c r="AA52" s="28"/>
      <c r="AB52" s="28"/>
      <c r="AC52" s="28"/>
      <c r="AD52" s="28"/>
      <c r="AE52" s="28"/>
      <c r="AF52" s="28"/>
      <c r="AG52" s="28"/>
    </row>
    <row r="53" spans="1:50" ht="18" customHeight="1" x14ac:dyDescent="0.15">
      <c r="B53" s="167"/>
      <c r="C53" s="58"/>
      <c r="D53" s="58"/>
      <c r="E53" s="58"/>
      <c r="F53" s="58"/>
      <c r="G53" s="58"/>
      <c r="H53" s="58"/>
      <c r="I53" s="58"/>
      <c r="J53" s="58"/>
      <c r="K53" s="58"/>
      <c r="L53" s="58"/>
      <c r="M53" s="58"/>
      <c r="N53" s="58"/>
      <c r="O53" s="58"/>
      <c r="P53" s="58"/>
      <c r="Q53" s="58"/>
      <c r="R53" s="58"/>
      <c r="S53" s="94"/>
      <c r="T53" s="58"/>
      <c r="U53" s="58"/>
      <c r="W53" s="28"/>
      <c r="X53" s="28"/>
      <c r="Y53" s="28"/>
      <c r="Z53" s="28"/>
      <c r="AA53" s="28"/>
      <c r="AB53" s="28"/>
      <c r="AC53" s="28"/>
      <c r="AD53" s="28"/>
      <c r="AE53" s="28"/>
      <c r="AF53" s="28"/>
      <c r="AG53" s="28"/>
    </row>
    <row r="54" spans="1:50" ht="18" customHeight="1" x14ac:dyDescent="0.15">
      <c r="B54" s="158" t="s">
        <v>59</v>
      </c>
      <c r="S54" s="104"/>
      <c r="T54" s="93"/>
      <c r="U54" s="93"/>
      <c r="W54" s="28"/>
      <c r="X54" s="28"/>
      <c r="Y54" s="28"/>
      <c r="Z54" s="28"/>
      <c r="AA54" s="28"/>
      <c r="AB54" s="28"/>
      <c r="AC54" s="28"/>
      <c r="AD54" s="28"/>
      <c r="AE54" s="28"/>
      <c r="AF54" s="28"/>
      <c r="AG54" s="28"/>
    </row>
    <row r="55" spans="1:50" x14ac:dyDescent="0.15">
      <c r="A55" s="160"/>
      <c r="B55" s="201" t="s">
        <v>10</v>
      </c>
      <c r="C55" s="202"/>
      <c r="D55" s="202"/>
      <c r="E55" s="202"/>
      <c r="F55" s="202"/>
      <c r="G55" s="202"/>
      <c r="H55" s="202"/>
      <c r="I55" s="202"/>
      <c r="J55" s="202"/>
      <c r="K55" s="202"/>
      <c r="L55" s="202"/>
      <c r="M55" s="202"/>
      <c r="N55" s="202"/>
      <c r="O55" s="202"/>
      <c r="P55" s="202"/>
      <c r="Q55" s="202"/>
      <c r="R55" s="202"/>
      <c r="S55" s="202"/>
      <c r="T55" s="202"/>
      <c r="U55" s="202"/>
      <c r="V55" s="202"/>
      <c r="W55" s="28"/>
      <c r="X55" s="28"/>
      <c r="Y55" s="28"/>
      <c r="Z55" s="28"/>
      <c r="AA55" s="28"/>
      <c r="AB55" s="28"/>
      <c r="AC55" s="28"/>
      <c r="AD55" s="28"/>
      <c r="AE55" s="28"/>
      <c r="AF55" s="28"/>
      <c r="AG55" s="28"/>
    </row>
    <row r="56" spans="1:50" x14ac:dyDescent="0.15">
      <c r="A56" s="27"/>
      <c r="B56" s="203"/>
      <c r="C56" s="203"/>
      <c r="D56" s="203"/>
      <c r="E56" s="203"/>
      <c r="F56" s="203"/>
      <c r="G56" s="203"/>
      <c r="H56" s="203"/>
      <c r="I56" s="203"/>
      <c r="J56" s="203"/>
      <c r="K56" s="203"/>
      <c r="L56" s="203"/>
      <c r="M56" s="203"/>
      <c r="N56" s="203"/>
      <c r="O56" s="203"/>
      <c r="P56" s="203"/>
      <c r="Q56" s="203"/>
      <c r="R56" s="203"/>
      <c r="S56" s="203"/>
      <c r="T56" s="203"/>
      <c r="U56" s="203"/>
      <c r="V56" s="203"/>
      <c r="W56" s="28"/>
      <c r="X56" s="28"/>
      <c r="Y56" s="28"/>
      <c r="Z56" s="28"/>
      <c r="AA56" s="28"/>
      <c r="AB56" s="28"/>
      <c r="AC56" s="28"/>
      <c r="AD56" s="28"/>
      <c r="AE56" s="28"/>
      <c r="AF56" s="28"/>
      <c r="AG56" s="28"/>
      <c r="AH56" s="70"/>
      <c r="AI56" s="70"/>
      <c r="AJ56" s="70"/>
      <c r="AK56" s="70"/>
      <c r="AL56" s="70"/>
      <c r="AM56" s="70"/>
      <c r="AN56" s="70"/>
      <c r="AO56" s="70"/>
      <c r="AP56" s="70"/>
      <c r="AQ56" s="70"/>
      <c r="AR56" s="70"/>
      <c r="AS56" s="70"/>
      <c r="AT56" s="70"/>
      <c r="AU56" s="70"/>
      <c r="AV56" s="70"/>
      <c r="AW56" s="70"/>
      <c r="AX56" s="70"/>
    </row>
    <row r="57" spans="1:50" x14ac:dyDescent="0.15">
      <c r="A57" s="27"/>
      <c r="B57" s="203"/>
      <c r="C57" s="203"/>
      <c r="D57" s="203"/>
      <c r="E57" s="203"/>
      <c r="F57" s="203"/>
      <c r="G57" s="203"/>
      <c r="H57" s="203"/>
      <c r="I57" s="203"/>
      <c r="J57" s="203"/>
      <c r="K57" s="203"/>
      <c r="L57" s="203"/>
      <c r="M57" s="203"/>
      <c r="N57" s="203"/>
      <c r="O57" s="203"/>
      <c r="P57" s="203"/>
      <c r="Q57" s="203"/>
      <c r="R57" s="203"/>
      <c r="S57" s="203"/>
      <c r="T57" s="203"/>
      <c r="U57" s="203"/>
      <c r="V57" s="203"/>
      <c r="W57" s="28"/>
      <c r="X57" s="28"/>
      <c r="Y57" s="28"/>
      <c r="Z57" s="28"/>
      <c r="AA57" s="28"/>
      <c r="AB57" s="28"/>
      <c r="AC57" s="28"/>
      <c r="AD57" s="28"/>
      <c r="AE57" s="28"/>
      <c r="AF57" s="28"/>
      <c r="AG57" s="28"/>
      <c r="AH57" s="70"/>
      <c r="AI57" s="70"/>
      <c r="AJ57" s="70"/>
      <c r="AK57" s="70"/>
      <c r="AL57" s="70"/>
      <c r="AM57" s="70"/>
      <c r="AN57" s="70"/>
      <c r="AO57" s="70"/>
      <c r="AP57" s="70"/>
      <c r="AQ57" s="70"/>
      <c r="AR57" s="70"/>
      <c r="AS57" s="70"/>
      <c r="AT57" s="70"/>
      <c r="AU57" s="70"/>
      <c r="AV57" s="70"/>
      <c r="AW57" s="70"/>
      <c r="AX57" s="70"/>
    </row>
    <row r="58" spans="1:50" x14ac:dyDescent="0.15">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70"/>
      <c r="AI58" s="70"/>
      <c r="AJ58" s="70"/>
      <c r="AK58" s="70"/>
      <c r="AL58" s="70"/>
      <c r="AM58" s="70"/>
      <c r="AN58" s="70"/>
      <c r="AO58" s="70"/>
      <c r="AP58" s="70"/>
      <c r="AQ58" s="70"/>
      <c r="AR58" s="70"/>
      <c r="AS58" s="70"/>
      <c r="AT58" s="70"/>
      <c r="AU58" s="70"/>
      <c r="AV58" s="70"/>
      <c r="AW58" s="70"/>
      <c r="AX58" s="70"/>
    </row>
    <row r="59" spans="1:50" x14ac:dyDescent="0.15">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70"/>
      <c r="AI59" s="70"/>
      <c r="AJ59" s="70"/>
      <c r="AK59" s="70"/>
      <c r="AL59" s="70"/>
      <c r="AM59" s="70"/>
      <c r="AN59" s="70"/>
      <c r="AO59" s="70"/>
      <c r="AP59" s="70"/>
      <c r="AQ59" s="70"/>
      <c r="AR59" s="70"/>
      <c r="AS59" s="70"/>
      <c r="AT59" s="70"/>
      <c r="AU59" s="70"/>
      <c r="AV59" s="70"/>
      <c r="AW59" s="70"/>
      <c r="AX59" s="70"/>
    </row>
    <row r="60" spans="1:50" x14ac:dyDescent="0.15">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70"/>
      <c r="AI60" s="70"/>
      <c r="AJ60" s="70"/>
      <c r="AK60" s="70"/>
      <c r="AL60" s="70"/>
      <c r="AM60" s="70"/>
      <c r="AN60" s="70"/>
      <c r="AO60" s="70"/>
      <c r="AP60" s="70"/>
      <c r="AQ60" s="70"/>
      <c r="AR60" s="70"/>
      <c r="AS60" s="70"/>
      <c r="AT60" s="70"/>
      <c r="AU60" s="70"/>
      <c r="AV60" s="70"/>
      <c r="AW60" s="70"/>
      <c r="AX60" s="70"/>
    </row>
    <row r="61" spans="1:50" x14ac:dyDescent="0.15">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70"/>
      <c r="AI61" s="70"/>
      <c r="AJ61" s="70"/>
      <c r="AK61" s="70"/>
      <c r="AL61" s="70"/>
      <c r="AM61" s="70"/>
      <c r="AN61" s="70"/>
      <c r="AO61" s="70"/>
      <c r="AP61" s="70"/>
      <c r="AQ61" s="70"/>
      <c r="AR61" s="70"/>
      <c r="AS61" s="70"/>
      <c r="AT61" s="70"/>
      <c r="AU61" s="70"/>
      <c r="AV61" s="70"/>
      <c r="AW61" s="70"/>
      <c r="AX61" s="70"/>
    </row>
    <row r="62" spans="1:50" x14ac:dyDescent="0.15">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row>
    <row r="63" spans="1:50" x14ac:dyDescent="0.15">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row>
    <row r="64" spans="1:50" x14ac:dyDescent="0.15">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row>
    <row r="65" spans="1:33" x14ac:dyDescent="0.1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row>
    <row r="66" spans="1:33" x14ac:dyDescent="0.15">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row>
    <row r="67" spans="1:33" x14ac:dyDescent="0.15">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row>
    <row r="68" spans="1:33" x14ac:dyDescent="0.15">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row>
    <row r="69" spans="1:33" x14ac:dyDescent="0.15">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row>
    <row r="70" spans="1:33" x14ac:dyDescent="0.15">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row>
    <row r="71" spans="1:33" x14ac:dyDescent="0.15">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row>
    <row r="72" spans="1:33" x14ac:dyDescent="0.15">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row>
    <row r="73" spans="1:33" x14ac:dyDescent="0.15">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row>
    <row r="74" spans="1:33" x14ac:dyDescent="0.15">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row>
    <row r="75" spans="1:33" x14ac:dyDescent="0.1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row>
    <row r="76" spans="1:33" x14ac:dyDescent="0.15">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row>
    <row r="77" spans="1:33" x14ac:dyDescent="0.15">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row>
    <row r="78" spans="1:33" x14ac:dyDescent="0.15">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row>
    <row r="79" spans="1:33" x14ac:dyDescent="0.15">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row>
    <row r="80" spans="1:33" x14ac:dyDescent="0.15">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row>
    <row r="81" spans="1:33" x14ac:dyDescent="0.15">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row>
    <row r="82" spans="1:33" x14ac:dyDescent="0.15">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row>
    <row r="83" spans="1:33" x14ac:dyDescent="0.15">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row>
    <row r="84" spans="1:33" x14ac:dyDescent="0.15">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row>
    <row r="85" spans="1:33" x14ac:dyDescent="0.1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row>
    <row r="86" spans="1:33" x14ac:dyDescent="0.15">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row>
    <row r="87" spans="1:33" x14ac:dyDescent="0.15">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row>
    <row r="88" spans="1:33" x14ac:dyDescent="0.15">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row>
    <row r="89" spans="1:33" x14ac:dyDescent="0.15">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row>
    <row r="90" spans="1:33" x14ac:dyDescent="0.15">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row>
    <row r="91" spans="1:33" x14ac:dyDescent="0.15">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row>
    <row r="92" spans="1:33" x14ac:dyDescent="0.15">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row>
    <row r="93" spans="1:33" x14ac:dyDescent="0.15">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row>
    <row r="94" spans="1:33" x14ac:dyDescent="0.15">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row>
    <row r="95" spans="1:33" x14ac:dyDescent="0.1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row>
    <row r="96" spans="1:33" x14ac:dyDescent="0.15">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row>
    <row r="97" spans="23:25" x14ac:dyDescent="0.15">
      <c r="W97" s="70"/>
      <c r="X97" s="70"/>
      <c r="Y97" s="70"/>
    </row>
    <row r="98" spans="23:25" x14ac:dyDescent="0.15">
      <c r="W98" s="70"/>
      <c r="X98" s="70"/>
      <c r="Y98" s="70"/>
    </row>
    <row r="99" spans="23:25" x14ac:dyDescent="0.15">
      <c r="W99" s="70"/>
      <c r="X99" s="70"/>
      <c r="Y99" s="70"/>
    </row>
    <row r="100" spans="23:25" x14ac:dyDescent="0.15">
      <c r="W100" s="70"/>
      <c r="X100" s="70"/>
      <c r="Y100" s="70"/>
    </row>
  </sheetData>
  <mergeCells count="13">
    <mergeCell ref="R29:U29"/>
    <mergeCell ref="H8:K8"/>
    <mergeCell ref="B55:V57"/>
    <mergeCell ref="N29:Q29"/>
    <mergeCell ref="C7:K7"/>
    <mergeCell ref="D8:G8"/>
    <mergeCell ref="R8:U8"/>
    <mergeCell ref="C28:K28"/>
    <mergeCell ref="N8:Q8"/>
    <mergeCell ref="D29:G29"/>
    <mergeCell ref="M7:U7"/>
    <mergeCell ref="H29:K29"/>
    <mergeCell ref="M28:U28"/>
  </mergeCells>
  <phoneticPr fontId="0" type="noConversion"/>
  <printOptions gridLinesSet="0"/>
  <pageMargins left="0" right="0" top="0" bottom="0" header="0.5" footer="0.5"/>
  <pageSetup paperSize="0" orientation="landscape" horizontalDpi="0" verticalDpi="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692F-A603-48D7-A184-AEAC15A103F7}">
  <sheetPr>
    <outlinePr summaryBelow="0" summaryRight="0"/>
    <pageSetUpPr autoPageBreaks="0" fitToPage="1"/>
  </sheetPr>
  <dimension ref="A1:BP55"/>
  <sheetViews>
    <sheetView showGridLines="0" zoomScale="75" zoomScaleNormal="75" zoomScaleSheetLayoutView="75" workbookViewId="0"/>
  </sheetViews>
  <sheetFormatPr defaultRowHeight="12.75" x14ac:dyDescent="0.15"/>
  <cols>
    <col min="1" max="1" width="1.75" customWidth="1"/>
    <col min="2" max="2" width="9.70703125" customWidth="1"/>
    <col min="3" max="3" width="47.73828125" customWidth="1"/>
    <col min="4" max="4" width="25.75390625" customWidth="1"/>
    <col min="5" max="7" width="9.70703125" customWidth="1"/>
    <col min="8" max="9" width="7.68359375" customWidth="1"/>
    <col min="10" max="37" width="3.234375" customWidth="1"/>
    <col min="38" max="38" width="1.75" customWidth="1"/>
  </cols>
  <sheetData>
    <row r="1" spans="2:68" ht="30" customHeight="1" x14ac:dyDescent="0.25">
      <c r="B1" s="168" t="s">
        <v>69</v>
      </c>
      <c r="E1" s="105"/>
      <c r="F1" s="105"/>
      <c r="G1" s="105"/>
      <c r="H1" s="105"/>
      <c r="I1" s="105"/>
      <c r="J1" s="105"/>
      <c r="K1" s="105"/>
      <c r="L1" s="105"/>
      <c r="M1" s="105"/>
      <c r="N1" s="106"/>
      <c r="O1" s="107"/>
      <c r="P1" s="107"/>
      <c r="Q1" s="107"/>
      <c r="R1" s="107"/>
      <c r="S1" s="108"/>
      <c r="T1" s="108"/>
      <c r="U1" s="108"/>
      <c r="V1" s="108"/>
      <c r="W1" s="108"/>
      <c r="X1" s="108"/>
      <c r="Y1" s="108"/>
      <c r="Z1" s="108"/>
      <c r="AA1" s="108"/>
      <c r="AB1" s="108"/>
      <c r="AC1" s="108"/>
      <c r="AD1" s="108"/>
      <c r="AE1" s="108"/>
      <c r="AF1" s="108"/>
      <c r="AG1" s="108"/>
      <c r="AH1" s="107"/>
      <c r="AI1" s="107"/>
      <c r="AJ1" s="107"/>
      <c r="AK1" s="107"/>
      <c r="AL1" s="107"/>
      <c r="AM1" s="187"/>
      <c r="AN1" s="187"/>
      <c r="AO1" s="187"/>
      <c r="AP1" s="187"/>
      <c r="AQ1" s="187"/>
      <c r="AR1" s="187"/>
      <c r="AS1" s="187"/>
      <c r="AT1" s="187"/>
      <c r="AU1" s="187"/>
      <c r="AV1" s="187"/>
      <c r="AW1" s="188"/>
      <c r="AX1" s="188"/>
      <c r="AY1" s="188"/>
      <c r="AZ1" s="188"/>
      <c r="BA1" s="188"/>
      <c r="BB1" s="188"/>
      <c r="BC1" s="188"/>
      <c r="BD1" s="188"/>
      <c r="BE1" s="188"/>
      <c r="BF1" s="188"/>
      <c r="BG1" s="188"/>
      <c r="BH1" s="188"/>
      <c r="BI1" s="188"/>
      <c r="BJ1" s="188"/>
      <c r="BK1" s="188"/>
      <c r="BL1" s="188"/>
      <c r="BM1" s="188"/>
      <c r="BN1" s="188"/>
      <c r="BO1" s="188"/>
      <c r="BP1" s="188"/>
    </row>
    <row r="2" spans="2:68" ht="20.100000000000001" customHeight="1" x14ac:dyDescent="0.15">
      <c r="B2" t="s">
        <v>1</v>
      </c>
      <c r="E2" s="105"/>
      <c r="F2" s="105"/>
      <c r="G2" s="105"/>
      <c r="H2" s="105"/>
      <c r="I2" s="105"/>
      <c r="J2" s="105"/>
      <c r="K2" s="105"/>
      <c r="L2" s="105"/>
      <c r="M2" s="105"/>
      <c r="N2" s="106"/>
      <c r="O2" s="107"/>
      <c r="P2" s="107"/>
      <c r="Q2" s="107"/>
      <c r="R2" s="107"/>
      <c r="S2" s="108"/>
      <c r="T2" s="108"/>
      <c r="U2" s="108"/>
      <c r="V2" s="108"/>
      <c r="W2" s="108"/>
      <c r="X2" s="108"/>
      <c r="Y2" s="108"/>
      <c r="Z2" s="108"/>
      <c r="AA2" s="108"/>
      <c r="AB2" s="108"/>
      <c r="AC2" s="108"/>
      <c r="AD2" s="108"/>
      <c r="AE2" s="108"/>
      <c r="AF2" s="108"/>
      <c r="AG2" s="108"/>
      <c r="AM2" s="28"/>
      <c r="AN2" s="28"/>
      <c r="AO2" s="28"/>
      <c r="AP2" s="28"/>
      <c r="AQ2" s="28"/>
      <c r="AR2" s="28"/>
      <c r="AS2" s="28"/>
      <c r="AT2" s="28"/>
      <c r="AU2" s="28"/>
      <c r="AV2" s="28"/>
      <c r="AW2" s="188"/>
      <c r="AX2" s="188"/>
      <c r="AY2" s="188"/>
      <c r="AZ2" s="188"/>
      <c r="BA2" s="188"/>
      <c r="BB2" s="188"/>
      <c r="BC2" s="188"/>
      <c r="BD2" s="188"/>
      <c r="BE2" s="188"/>
      <c r="BF2" s="188"/>
      <c r="BG2" s="188"/>
      <c r="BH2" s="188"/>
      <c r="BI2" s="188"/>
      <c r="BJ2" s="188"/>
      <c r="BK2" s="188"/>
      <c r="BL2" s="188"/>
      <c r="BM2" s="188"/>
      <c r="BN2" s="188"/>
      <c r="BO2" s="188"/>
      <c r="BP2" s="188"/>
    </row>
    <row r="3" spans="2:68" ht="20.100000000000001" customHeight="1" x14ac:dyDescent="0.15">
      <c r="B3" t="s">
        <v>2</v>
      </c>
      <c r="E3" s="105"/>
      <c r="F3" s="105"/>
      <c r="G3" s="105"/>
      <c r="H3" s="105"/>
      <c r="I3" s="105"/>
      <c r="J3" s="105"/>
      <c r="K3" s="105"/>
      <c r="L3" s="105"/>
      <c r="M3" s="105"/>
      <c r="N3" s="106"/>
      <c r="O3" s="107"/>
      <c r="P3" s="107"/>
      <c r="Q3" s="107"/>
      <c r="R3" s="107"/>
      <c r="S3" s="108"/>
      <c r="T3" s="108"/>
      <c r="U3" s="108"/>
      <c r="V3" s="108"/>
      <c r="W3" s="108"/>
      <c r="X3" s="108"/>
      <c r="Y3" s="108"/>
      <c r="Z3" s="108"/>
      <c r="AA3" s="108"/>
      <c r="AB3" s="108"/>
      <c r="AC3" s="108"/>
      <c r="AD3" s="108"/>
      <c r="AE3" s="108"/>
      <c r="AF3" s="108"/>
      <c r="AG3" s="108"/>
      <c r="AM3" s="28"/>
      <c r="AN3" s="28"/>
      <c r="AO3" s="28"/>
      <c r="AP3" s="28"/>
      <c r="AQ3" s="28"/>
      <c r="AR3" s="28"/>
      <c r="AS3" s="28"/>
      <c r="AT3" s="28"/>
      <c r="AU3" s="28"/>
      <c r="AV3" s="28"/>
      <c r="AW3" s="188"/>
      <c r="AX3" s="188"/>
      <c r="AY3" s="188"/>
      <c r="AZ3" s="188"/>
      <c r="BA3" s="188"/>
      <c r="BB3" s="188"/>
      <c r="BC3" s="188"/>
      <c r="BD3" s="188"/>
      <c r="BE3" s="188"/>
      <c r="BF3" s="188"/>
      <c r="BG3" s="188"/>
      <c r="BH3" s="188"/>
      <c r="BI3" s="188"/>
      <c r="BJ3" s="188"/>
      <c r="BK3" s="188"/>
      <c r="BL3" s="188"/>
      <c r="BM3" s="188"/>
      <c r="BN3" s="188"/>
      <c r="BO3" s="188"/>
      <c r="BP3" s="188"/>
    </row>
    <row r="4" spans="2:68" ht="15" customHeight="1" x14ac:dyDescent="0.15">
      <c r="E4" s="107"/>
      <c r="F4" s="106"/>
      <c r="G4" s="107"/>
      <c r="H4" s="106"/>
      <c r="I4" s="107"/>
      <c r="J4" s="106"/>
      <c r="K4" s="107"/>
      <c r="L4" s="106"/>
      <c r="M4" s="107"/>
      <c r="N4" s="106"/>
      <c r="O4" s="109"/>
      <c r="P4" s="110"/>
      <c r="Q4" s="110"/>
      <c r="R4" s="107"/>
      <c r="S4" s="108"/>
      <c r="T4" s="108"/>
      <c r="U4" s="108"/>
      <c r="V4" s="108"/>
      <c r="W4" s="108"/>
      <c r="X4" s="108"/>
      <c r="Y4" s="108"/>
      <c r="Z4" s="108"/>
      <c r="AA4" s="108"/>
      <c r="AB4" s="108"/>
      <c r="AC4" s="108"/>
      <c r="AD4" s="108"/>
      <c r="AE4" s="108"/>
      <c r="AF4" s="108"/>
      <c r="AG4" s="108"/>
      <c r="AH4" s="107"/>
      <c r="AI4" s="107"/>
      <c r="AJ4" s="107"/>
      <c r="AK4" s="107"/>
      <c r="AL4" s="107"/>
      <c r="AM4" s="187"/>
      <c r="AN4" s="187"/>
      <c r="AO4" s="187"/>
      <c r="AP4" s="187"/>
      <c r="AQ4" s="187"/>
      <c r="AR4" s="187"/>
      <c r="AS4" s="187"/>
      <c r="AT4" s="187"/>
      <c r="AU4" s="187"/>
      <c r="AV4" s="187"/>
      <c r="AW4" s="188"/>
      <c r="AX4" s="188"/>
      <c r="AY4" s="188"/>
      <c r="AZ4" s="188"/>
      <c r="BA4" s="188"/>
      <c r="BB4" s="188"/>
      <c r="BC4" s="188"/>
      <c r="BD4" s="188"/>
      <c r="BE4" s="188"/>
      <c r="BF4" s="188"/>
      <c r="BG4" s="188"/>
      <c r="BH4" s="188"/>
      <c r="BI4" s="188"/>
      <c r="BJ4" s="188"/>
      <c r="BK4" s="188"/>
      <c r="BL4" s="188"/>
      <c r="BM4" s="188"/>
      <c r="BN4" s="188"/>
      <c r="BO4" s="188"/>
      <c r="BP4" s="188"/>
    </row>
    <row r="5" spans="2:68" ht="15" customHeight="1" x14ac:dyDescent="0.15">
      <c r="E5" s="111"/>
      <c r="F5" s="111"/>
      <c r="G5" s="111"/>
      <c r="H5" s="111"/>
      <c r="I5" s="111"/>
      <c r="J5" s="111"/>
      <c r="K5" s="111"/>
      <c r="L5" s="111"/>
      <c r="M5" s="111"/>
      <c r="N5" s="111"/>
      <c r="O5" s="112"/>
      <c r="P5" s="108"/>
      <c r="Q5" s="108"/>
      <c r="R5" s="108"/>
      <c r="S5" s="108"/>
      <c r="T5" s="108"/>
      <c r="U5" s="108"/>
      <c r="V5" s="108"/>
      <c r="W5" s="108"/>
      <c r="X5" s="108"/>
      <c r="Y5" s="108"/>
      <c r="Z5" s="108"/>
      <c r="AA5" s="108"/>
      <c r="AB5" s="108"/>
      <c r="AC5" s="108"/>
      <c r="AD5" s="108"/>
      <c r="AE5" s="108"/>
      <c r="AF5" s="108"/>
      <c r="AG5" s="108"/>
      <c r="AH5" s="108"/>
      <c r="AI5" s="108"/>
      <c r="AJ5" s="108"/>
      <c r="AK5" s="108"/>
      <c r="AL5" s="113"/>
      <c r="AM5" s="189"/>
      <c r="AN5" s="189"/>
      <c r="AO5" s="189"/>
      <c r="AP5" s="189"/>
      <c r="AQ5" s="189"/>
      <c r="AR5" s="189"/>
      <c r="AS5" s="189"/>
      <c r="AT5" s="189"/>
      <c r="AU5" s="189"/>
      <c r="AV5" s="189"/>
      <c r="AW5" s="188"/>
      <c r="AX5" s="188"/>
      <c r="AY5" s="188"/>
      <c r="AZ5" s="188"/>
      <c r="BA5" s="188"/>
      <c r="BB5" s="188"/>
      <c r="BC5" s="188"/>
      <c r="BD5" s="188"/>
      <c r="BE5" s="188"/>
      <c r="BF5" s="188"/>
      <c r="BG5" s="188"/>
      <c r="BH5" s="188"/>
      <c r="BI5" s="188"/>
      <c r="BJ5" s="188"/>
      <c r="BK5" s="188"/>
      <c r="BL5" s="188"/>
      <c r="BM5" s="188"/>
      <c r="BN5" s="188"/>
      <c r="BO5" s="188"/>
      <c r="BP5" s="188"/>
    </row>
    <row r="6" spans="2:68" ht="30" customHeight="1" x14ac:dyDescent="0.15">
      <c r="B6" s="114"/>
      <c r="C6" s="114"/>
      <c r="D6" s="114"/>
      <c r="E6" s="114"/>
      <c r="F6" s="114"/>
      <c r="G6" s="114"/>
      <c r="H6" s="114"/>
      <c r="I6" s="115"/>
      <c r="J6" s="116" t="s">
        <v>19</v>
      </c>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t="s">
        <v>22</v>
      </c>
      <c r="AK6" s="118"/>
      <c r="AL6" s="107"/>
      <c r="AM6" s="187"/>
      <c r="AN6" s="187"/>
      <c r="AO6" s="187"/>
      <c r="AP6" s="187"/>
      <c r="AQ6" s="187"/>
      <c r="AR6" s="187"/>
      <c r="AS6" s="187"/>
      <c r="AT6" s="187"/>
      <c r="AU6" s="187"/>
      <c r="AV6" s="187"/>
      <c r="AW6" s="188"/>
      <c r="AX6" s="188"/>
      <c r="AY6" s="188"/>
      <c r="AZ6" s="188"/>
      <c r="BA6" s="188"/>
      <c r="BB6" s="188"/>
      <c r="BC6" s="188"/>
      <c r="BD6" s="188"/>
      <c r="BE6" s="188"/>
      <c r="BF6" s="188"/>
      <c r="BG6" s="188"/>
      <c r="BH6" s="188"/>
      <c r="BI6" s="188"/>
      <c r="BJ6" s="188"/>
      <c r="BK6" s="188"/>
      <c r="BL6" s="188"/>
      <c r="BM6" s="188"/>
      <c r="BN6" s="188"/>
      <c r="BO6" s="188"/>
      <c r="BP6" s="188"/>
    </row>
    <row r="7" spans="2:68" ht="24.95" customHeight="1" x14ac:dyDescent="0.15">
      <c r="B7" s="119" t="s">
        <v>70</v>
      </c>
      <c r="C7" s="119" t="s">
        <v>71</v>
      </c>
      <c r="D7" s="119" t="s">
        <v>72</v>
      </c>
      <c r="E7" s="119" t="s">
        <v>73</v>
      </c>
      <c r="F7" s="119" t="s">
        <v>74</v>
      </c>
      <c r="G7" s="119" t="s">
        <v>75</v>
      </c>
      <c r="H7" s="120" t="s">
        <v>76</v>
      </c>
      <c r="I7" s="119" t="s">
        <v>77</v>
      </c>
      <c r="J7" s="121">
        <v>5</v>
      </c>
      <c r="K7" s="121">
        <v>6</v>
      </c>
      <c r="L7" s="121">
        <v>7</v>
      </c>
      <c r="M7" s="121">
        <v>8</v>
      </c>
      <c r="N7" s="121">
        <v>9</v>
      </c>
      <c r="O7" s="121">
        <v>10</v>
      </c>
      <c r="P7" s="121">
        <v>11</v>
      </c>
      <c r="Q7" s="121">
        <v>12</v>
      </c>
      <c r="R7" s="121">
        <v>13</v>
      </c>
      <c r="S7" s="121">
        <v>14</v>
      </c>
      <c r="T7" s="121">
        <v>15</v>
      </c>
      <c r="U7" s="121">
        <v>16</v>
      </c>
      <c r="V7" s="121">
        <v>17</v>
      </c>
      <c r="W7" s="121">
        <v>18</v>
      </c>
      <c r="X7" s="121">
        <v>19</v>
      </c>
      <c r="Y7" s="121">
        <v>20</v>
      </c>
      <c r="Z7" s="121">
        <v>21</v>
      </c>
      <c r="AA7" s="121">
        <v>22</v>
      </c>
      <c r="AB7" s="121">
        <v>23</v>
      </c>
      <c r="AC7" s="121">
        <v>24</v>
      </c>
      <c r="AD7" s="121">
        <v>25</v>
      </c>
      <c r="AE7" s="121">
        <v>26</v>
      </c>
      <c r="AF7" s="121">
        <v>27</v>
      </c>
      <c r="AG7" s="121">
        <v>28</v>
      </c>
      <c r="AH7" s="121">
        <v>29</v>
      </c>
      <c r="AI7" s="121">
        <v>30</v>
      </c>
      <c r="AJ7" s="121">
        <v>1</v>
      </c>
      <c r="AK7" s="121">
        <v>2</v>
      </c>
      <c r="AL7" s="107"/>
      <c r="AM7" s="187"/>
      <c r="AN7" s="187"/>
      <c r="AO7" s="187"/>
      <c r="AP7" s="187"/>
      <c r="AQ7" s="187"/>
      <c r="AR7" s="187"/>
      <c r="AS7" s="187"/>
      <c r="AT7" s="187"/>
      <c r="AU7" s="187"/>
      <c r="AV7" s="187"/>
      <c r="AW7" s="188"/>
      <c r="AX7" s="188"/>
      <c r="AY7" s="188"/>
      <c r="AZ7" s="188"/>
      <c r="BA7" s="188"/>
      <c r="BB7" s="188"/>
      <c r="BC7" s="188"/>
      <c r="BD7" s="188"/>
      <c r="BE7" s="188"/>
      <c r="BF7" s="188"/>
      <c r="BG7" s="188"/>
      <c r="BH7" s="188"/>
      <c r="BI7" s="188"/>
      <c r="BJ7" s="188"/>
      <c r="BK7" s="188"/>
      <c r="BL7" s="188"/>
      <c r="BM7" s="188"/>
      <c r="BN7" s="188"/>
      <c r="BO7" s="188"/>
      <c r="BP7" s="188"/>
    </row>
    <row r="8" spans="2:68" x14ac:dyDescent="0.15">
      <c r="B8" s="170">
        <v>23914</v>
      </c>
      <c r="C8" s="170" t="s">
        <v>78</v>
      </c>
      <c r="D8" s="170" t="s">
        <v>79</v>
      </c>
      <c r="E8" s="170" t="s">
        <v>80</v>
      </c>
      <c r="F8" s="170" t="s">
        <v>81</v>
      </c>
      <c r="G8" s="170" t="s">
        <v>82</v>
      </c>
      <c r="H8" s="170">
        <v>30</v>
      </c>
      <c r="I8" s="169"/>
      <c r="J8" s="170" t="s">
        <v>83</v>
      </c>
      <c r="K8" s="171" t="s">
        <v>83</v>
      </c>
      <c r="L8" s="171" t="s">
        <v>83</v>
      </c>
      <c r="M8" s="171" t="s">
        <v>83</v>
      </c>
      <c r="N8" s="171" t="s">
        <v>83</v>
      </c>
      <c r="O8" s="171" t="s">
        <v>83</v>
      </c>
      <c r="P8" s="171" t="s">
        <v>83</v>
      </c>
      <c r="Q8" s="171" t="s">
        <v>83</v>
      </c>
      <c r="R8" s="171" t="s">
        <v>83</v>
      </c>
      <c r="S8" s="171" t="s">
        <v>83</v>
      </c>
      <c r="T8" s="171" t="s">
        <v>83</v>
      </c>
      <c r="U8" s="171" t="s">
        <v>83</v>
      </c>
      <c r="V8" s="171" t="s">
        <v>83</v>
      </c>
      <c r="W8" s="171" t="s">
        <v>83</v>
      </c>
      <c r="X8" s="171" t="s">
        <v>83</v>
      </c>
      <c r="Y8" s="171" t="s">
        <v>83</v>
      </c>
      <c r="Z8" s="171" t="s">
        <v>83</v>
      </c>
      <c r="AA8" s="171" t="s">
        <v>83</v>
      </c>
      <c r="AB8" s="171" t="s">
        <v>83</v>
      </c>
      <c r="AC8" s="171" t="s">
        <v>83</v>
      </c>
      <c r="AD8" s="171" t="s">
        <v>83</v>
      </c>
      <c r="AE8" s="171" t="s">
        <v>83</v>
      </c>
      <c r="AF8" s="171" t="s">
        <v>83</v>
      </c>
      <c r="AG8" s="171" t="s">
        <v>83</v>
      </c>
      <c r="AH8" s="171" t="s">
        <v>83</v>
      </c>
      <c r="AI8" s="171" t="s">
        <v>83</v>
      </c>
      <c r="AJ8" s="171" t="s">
        <v>83</v>
      </c>
      <c r="AK8" s="171" t="s">
        <v>83</v>
      </c>
      <c r="AL8" s="141"/>
      <c r="AM8" s="188"/>
      <c r="AN8" s="188"/>
      <c r="AO8" s="188"/>
      <c r="AP8" s="188"/>
      <c r="AQ8" s="188"/>
      <c r="AR8" s="188"/>
      <c r="AS8" s="188"/>
      <c r="AT8" s="188"/>
      <c r="AU8" s="188"/>
      <c r="AV8" s="188"/>
      <c r="AW8" s="188"/>
      <c r="AX8" s="188"/>
      <c r="AY8" s="188"/>
      <c r="AZ8" s="188"/>
      <c r="BA8" s="188"/>
      <c r="BB8" s="188"/>
      <c r="BC8" s="188"/>
      <c r="BD8" s="188"/>
      <c r="BE8" s="188"/>
      <c r="BF8" s="188"/>
      <c r="BG8" s="188"/>
      <c r="BH8" s="188"/>
      <c r="BI8" s="188"/>
      <c r="BJ8" s="188"/>
      <c r="BK8" s="188"/>
      <c r="BL8" s="188"/>
      <c r="BM8" s="188"/>
      <c r="BN8" s="188"/>
      <c r="BO8" s="188"/>
      <c r="BP8" s="188"/>
    </row>
    <row r="9" spans="2:68" x14ac:dyDescent="0.15">
      <c r="B9" s="141">
        <v>29761</v>
      </c>
      <c r="C9" s="141" t="s">
        <v>84</v>
      </c>
      <c r="D9" s="141" t="s">
        <v>79</v>
      </c>
      <c r="E9" s="141" t="s">
        <v>80</v>
      </c>
      <c r="F9" s="141" t="s">
        <v>85</v>
      </c>
      <c r="G9" s="141" t="s">
        <v>86</v>
      </c>
      <c r="H9" s="141">
        <v>0</v>
      </c>
      <c r="I9" s="172" t="s">
        <v>87</v>
      </c>
      <c r="J9" s="141" t="s">
        <v>88</v>
      </c>
      <c r="K9" s="173" t="s">
        <v>88</v>
      </c>
      <c r="L9" s="173" t="s">
        <v>88</v>
      </c>
      <c r="M9" s="173" t="s">
        <v>88</v>
      </c>
      <c r="N9" s="173" t="s">
        <v>88</v>
      </c>
      <c r="O9" s="173" t="s">
        <v>88</v>
      </c>
      <c r="P9" s="173" t="s">
        <v>88</v>
      </c>
      <c r="Q9" s="173" t="s">
        <v>88</v>
      </c>
      <c r="R9" s="173" t="s">
        <v>88</v>
      </c>
      <c r="S9" s="173" t="s">
        <v>88</v>
      </c>
      <c r="T9" s="173" t="s">
        <v>88</v>
      </c>
      <c r="U9" s="173" t="s">
        <v>88</v>
      </c>
      <c r="V9" s="173" t="s">
        <v>88</v>
      </c>
      <c r="W9" s="173" t="s">
        <v>88</v>
      </c>
      <c r="X9" s="173" t="s">
        <v>88</v>
      </c>
      <c r="Y9" s="173" t="s">
        <v>88</v>
      </c>
      <c r="Z9" s="173" t="s">
        <v>88</v>
      </c>
      <c r="AA9" s="173" t="s">
        <v>88</v>
      </c>
      <c r="AB9" s="173" t="s">
        <v>88</v>
      </c>
      <c r="AC9" s="173" t="s">
        <v>88</v>
      </c>
      <c r="AD9" s="173" t="s">
        <v>88</v>
      </c>
      <c r="AE9" s="173" t="s">
        <v>88</v>
      </c>
      <c r="AF9" s="173" t="s">
        <v>88</v>
      </c>
      <c r="AG9" s="173" t="s">
        <v>88</v>
      </c>
      <c r="AH9" s="173" t="s">
        <v>88</v>
      </c>
      <c r="AI9" s="173" t="s">
        <v>88</v>
      </c>
      <c r="AJ9" s="173" t="s">
        <v>88</v>
      </c>
      <c r="AK9" s="173" t="s">
        <v>88</v>
      </c>
      <c r="AL9" s="141"/>
      <c r="AM9" s="188"/>
      <c r="AN9" s="188"/>
      <c r="AO9" s="188"/>
      <c r="AP9" s="188"/>
      <c r="AQ9" s="188"/>
      <c r="AR9" s="188"/>
      <c r="AS9" s="188"/>
      <c r="AT9" s="188"/>
      <c r="AU9" s="188"/>
      <c r="AV9" s="188"/>
      <c r="AW9" s="188"/>
      <c r="AX9" s="188"/>
      <c r="AY9" s="188"/>
      <c r="AZ9" s="188"/>
      <c r="BA9" s="188"/>
      <c r="BB9" s="188"/>
      <c r="BC9" s="188"/>
      <c r="BD9" s="188"/>
      <c r="BE9" s="188"/>
      <c r="BF9" s="188"/>
      <c r="BG9" s="188"/>
      <c r="BH9" s="188"/>
      <c r="BI9" s="188"/>
      <c r="BJ9" s="188"/>
      <c r="BK9" s="188"/>
      <c r="BL9" s="188"/>
      <c r="BM9" s="188"/>
      <c r="BN9" s="188"/>
      <c r="BO9" s="188"/>
      <c r="BP9" s="188"/>
    </row>
    <row r="10" spans="2:68" x14ac:dyDescent="0.15">
      <c r="B10" s="170">
        <v>24619</v>
      </c>
      <c r="C10" s="170" t="s">
        <v>89</v>
      </c>
      <c r="D10" s="170" t="s">
        <v>79</v>
      </c>
      <c r="E10" s="170" t="s">
        <v>80</v>
      </c>
      <c r="F10" s="170" t="s">
        <v>90</v>
      </c>
      <c r="G10" s="170" t="s">
        <v>91</v>
      </c>
      <c r="H10" s="170">
        <v>198</v>
      </c>
      <c r="I10" s="169" t="s">
        <v>87</v>
      </c>
      <c r="J10" s="170" t="s">
        <v>83</v>
      </c>
      <c r="K10" s="171" t="s">
        <v>83</v>
      </c>
      <c r="L10" s="171" t="s">
        <v>83</v>
      </c>
      <c r="M10" s="171" t="s">
        <v>83</v>
      </c>
      <c r="N10" s="171" t="s">
        <v>83</v>
      </c>
      <c r="O10" s="171" t="s">
        <v>83</v>
      </c>
      <c r="P10" s="171" t="s">
        <v>83</v>
      </c>
      <c r="Q10" s="171" t="s">
        <v>83</v>
      </c>
      <c r="R10" s="171" t="s">
        <v>83</v>
      </c>
      <c r="S10" s="171" t="s">
        <v>83</v>
      </c>
      <c r="T10" s="171" t="s">
        <v>83</v>
      </c>
      <c r="U10" s="171" t="s">
        <v>83</v>
      </c>
      <c r="V10" s="171" t="s">
        <v>83</v>
      </c>
      <c r="W10" s="171" t="s">
        <v>83</v>
      </c>
      <c r="X10" s="171" t="s">
        <v>83</v>
      </c>
      <c r="Y10" s="171" t="s">
        <v>83</v>
      </c>
      <c r="Z10" s="171" t="s">
        <v>83</v>
      </c>
      <c r="AA10" s="171" t="s">
        <v>83</v>
      </c>
      <c r="AB10" s="171" t="s">
        <v>83</v>
      </c>
      <c r="AC10" s="171" t="s">
        <v>83</v>
      </c>
      <c r="AD10" s="171" t="s">
        <v>83</v>
      </c>
      <c r="AE10" s="171" t="s">
        <v>83</v>
      </c>
      <c r="AF10" s="171" t="s">
        <v>83</v>
      </c>
      <c r="AG10" s="171" t="s">
        <v>83</v>
      </c>
      <c r="AH10" s="171" t="s">
        <v>83</v>
      </c>
      <c r="AI10" s="171" t="s">
        <v>83</v>
      </c>
      <c r="AJ10" s="171" t="s">
        <v>83</v>
      </c>
      <c r="AK10" s="171" t="s">
        <v>83</v>
      </c>
      <c r="AL10" s="141"/>
      <c r="AM10" s="188"/>
      <c r="AN10" s="188"/>
      <c r="AO10" s="188"/>
      <c r="AP10" s="188"/>
      <c r="AQ10" s="188"/>
      <c r="AR10" s="188"/>
      <c r="AS10" s="188"/>
      <c r="AT10" s="188"/>
      <c r="AU10" s="188"/>
      <c r="AV10" s="188"/>
      <c r="AW10" s="188"/>
      <c r="AX10" s="188"/>
      <c r="AY10" s="188"/>
      <c r="AZ10" s="188"/>
      <c r="BA10" s="188"/>
      <c r="BB10" s="188"/>
      <c r="BC10" s="188"/>
      <c r="BD10" s="188"/>
      <c r="BE10" s="188"/>
      <c r="BF10" s="188"/>
      <c r="BG10" s="188"/>
      <c r="BH10" s="188"/>
      <c r="BI10" s="188"/>
      <c r="BJ10" s="188"/>
      <c r="BK10" s="188"/>
      <c r="BL10" s="188"/>
      <c r="BM10" s="188"/>
      <c r="BN10" s="188"/>
      <c r="BO10" s="188"/>
      <c r="BP10" s="188"/>
    </row>
    <row r="11" spans="2:68" x14ac:dyDescent="0.15">
      <c r="B11" s="141">
        <v>29760</v>
      </c>
      <c r="C11" s="141" t="s">
        <v>92</v>
      </c>
      <c r="D11" s="141" t="s">
        <v>79</v>
      </c>
      <c r="E11" s="141" t="s">
        <v>93</v>
      </c>
      <c r="F11" s="141" t="s">
        <v>94</v>
      </c>
      <c r="G11" s="141" t="s">
        <v>95</v>
      </c>
      <c r="H11" s="141">
        <v>91</v>
      </c>
      <c r="I11" s="172" t="s">
        <v>87</v>
      </c>
      <c r="J11" s="141" t="s">
        <v>83</v>
      </c>
      <c r="K11" s="173" t="s">
        <v>83</v>
      </c>
      <c r="L11" s="173" t="s">
        <v>83</v>
      </c>
      <c r="M11" s="173" t="s">
        <v>83</v>
      </c>
      <c r="N11" s="173" t="s">
        <v>83</v>
      </c>
      <c r="O11" s="173" t="s">
        <v>83</v>
      </c>
      <c r="P11" s="173" t="s">
        <v>83</v>
      </c>
      <c r="Q11" s="173" t="s">
        <v>83</v>
      </c>
      <c r="R11" s="173" t="s">
        <v>83</v>
      </c>
      <c r="S11" s="173" t="s">
        <v>83</v>
      </c>
      <c r="T11" s="173" t="s">
        <v>83</v>
      </c>
      <c r="U11" s="173" t="s">
        <v>83</v>
      </c>
      <c r="V11" s="173" t="s">
        <v>83</v>
      </c>
      <c r="W11" s="173" t="s">
        <v>83</v>
      </c>
      <c r="X11" s="173" t="s">
        <v>83</v>
      </c>
      <c r="Y11" s="173" t="s">
        <v>83</v>
      </c>
      <c r="Z11" s="173" t="s">
        <v>83</v>
      </c>
      <c r="AA11" s="173" t="s">
        <v>83</v>
      </c>
      <c r="AB11" s="173" t="s">
        <v>83</v>
      </c>
      <c r="AC11" s="173" t="s">
        <v>83</v>
      </c>
      <c r="AD11" s="173" t="s">
        <v>83</v>
      </c>
      <c r="AE11" s="173" t="s">
        <v>83</v>
      </c>
      <c r="AF11" s="173" t="s">
        <v>83</v>
      </c>
      <c r="AG11" s="173" t="s">
        <v>83</v>
      </c>
      <c r="AH11" s="173" t="s">
        <v>83</v>
      </c>
      <c r="AI11" s="173" t="s">
        <v>83</v>
      </c>
      <c r="AJ11" s="173" t="s">
        <v>83</v>
      </c>
      <c r="AK11" s="173" t="s">
        <v>83</v>
      </c>
      <c r="AL11" s="141"/>
      <c r="AM11" s="188"/>
      <c r="AN11" s="188"/>
      <c r="AO11" s="188"/>
      <c r="AP11" s="188"/>
      <c r="AQ11" s="188"/>
      <c r="AR11" s="188"/>
      <c r="AS11" s="188"/>
      <c r="AT11" s="188"/>
      <c r="AU11" s="188"/>
      <c r="AV11" s="188"/>
      <c r="AW11" s="188"/>
      <c r="AX11" s="188"/>
      <c r="AY11" s="188"/>
      <c r="AZ11" s="188"/>
      <c r="BA11" s="188"/>
      <c r="BB11" s="188"/>
      <c r="BC11" s="188"/>
      <c r="BD11" s="188"/>
      <c r="BE11" s="188"/>
      <c r="BF11" s="188"/>
      <c r="BG11" s="188"/>
      <c r="BH11" s="188"/>
      <c r="BI11" s="188"/>
      <c r="BJ11" s="188"/>
      <c r="BK11" s="188"/>
      <c r="BL11" s="188"/>
      <c r="BM11" s="188"/>
      <c r="BN11" s="188"/>
      <c r="BO11" s="188"/>
      <c r="BP11" s="188"/>
    </row>
    <row r="12" spans="2:68" x14ac:dyDescent="0.15">
      <c r="B12" s="170">
        <v>15634</v>
      </c>
      <c r="C12" s="170" t="s">
        <v>96</v>
      </c>
      <c r="D12" s="170" t="s">
        <v>79</v>
      </c>
      <c r="E12" s="170" t="s">
        <v>93</v>
      </c>
      <c r="F12" s="170" t="s">
        <v>97</v>
      </c>
      <c r="G12" s="170" t="s">
        <v>97</v>
      </c>
      <c r="H12" s="170">
        <v>29</v>
      </c>
      <c r="I12" s="169"/>
      <c r="J12" s="170" t="s">
        <v>83</v>
      </c>
      <c r="K12" s="171" t="s">
        <v>83</v>
      </c>
      <c r="L12" s="171" t="s">
        <v>83</v>
      </c>
      <c r="M12" s="171" t="s">
        <v>83</v>
      </c>
      <c r="N12" s="171" t="s">
        <v>83</v>
      </c>
      <c r="O12" s="171" t="s">
        <v>83</v>
      </c>
      <c r="P12" s="171" t="s">
        <v>83</v>
      </c>
      <c r="Q12" s="171" t="s">
        <v>83</v>
      </c>
      <c r="R12" s="171" t="s">
        <v>83</v>
      </c>
      <c r="S12" s="171" t="s">
        <v>83</v>
      </c>
      <c r="T12" s="171" t="s">
        <v>83</v>
      </c>
      <c r="U12" s="171" t="s">
        <v>83</v>
      </c>
      <c r="V12" s="171" t="s">
        <v>83</v>
      </c>
      <c r="W12" s="171" t="s">
        <v>83</v>
      </c>
      <c r="X12" s="171" t="s">
        <v>83</v>
      </c>
      <c r="Y12" s="171" t="s">
        <v>83</v>
      </c>
      <c r="Z12" s="171" t="s">
        <v>83</v>
      </c>
      <c r="AA12" s="171" t="s">
        <v>83</v>
      </c>
      <c r="AB12" s="171" t="s">
        <v>83</v>
      </c>
      <c r="AC12" s="171" t="s">
        <v>83</v>
      </c>
      <c r="AD12" s="171" t="s">
        <v>83</v>
      </c>
      <c r="AE12" s="171" t="s">
        <v>83</v>
      </c>
      <c r="AF12" s="171" t="s">
        <v>83</v>
      </c>
      <c r="AG12" s="171" t="s">
        <v>83</v>
      </c>
      <c r="AH12" s="171" t="s">
        <v>83</v>
      </c>
      <c r="AI12" s="171" t="s">
        <v>83</v>
      </c>
      <c r="AJ12" s="171" t="s">
        <v>83</v>
      </c>
      <c r="AK12" s="171" t="s">
        <v>83</v>
      </c>
      <c r="AL12" s="141"/>
      <c r="AM12" s="188"/>
      <c r="AN12" s="188"/>
      <c r="AO12" s="188"/>
      <c r="AP12" s="188"/>
      <c r="AQ12" s="188"/>
      <c r="AR12" s="188"/>
      <c r="AS12" s="188"/>
      <c r="AT12" s="188"/>
      <c r="AU12" s="188"/>
      <c r="AV12" s="188"/>
      <c r="AW12" s="188"/>
      <c r="AX12" s="188"/>
      <c r="AY12" s="188"/>
      <c r="AZ12" s="188"/>
      <c r="BA12" s="188"/>
      <c r="BB12" s="188"/>
      <c r="BC12" s="188"/>
      <c r="BD12" s="188"/>
      <c r="BE12" s="188"/>
      <c r="BF12" s="188"/>
      <c r="BG12" s="188"/>
      <c r="BH12" s="188"/>
      <c r="BI12" s="188"/>
      <c r="BJ12" s="188"/>
      <c r="BK12" s="188"/>
      <c r="BL12" s="188"/>
      <c r="BM12" s="188"/>
      <c r="BN12" s="188"/>
      <c r="BO12" s="188"/>
      <c r="BP12" s="188"/>
    </row>
    <row r="13" spans="2:68" x14ac:dyDescent="0.15">
      <c r="B13" s="141">
        <v>48376</v>
      </c>
      <c r="C13" s="141" t="s">
        <v>98</v>
      </c>
      <c r="D13" s="141" t="s">
        <v>79</v>
      </c>
      <c r="E13" s="141" t="s">
        <v>93</v>
      </c>
      <c r="F13" s="141" t="s">
        <v>99</v>
      </c>
      <c r="G13" s="141" t="s">
        <v>100</v>
      </c>
      <c r="H13" s="141">
        <v>0</v>
      </c>
      <c r="I13" s="172"/>
      <c r="J13" s="141"/>
      <c r="K13" s="173"/>
      <c r="L13" s="173"/>
      <c r="M13" s="173"/>
      <c r="N13" s="173"/>
      <c r="O13" s="173"/>
      <c r="P13" s="173"/>
      <c r="Q13" s="173"/>
      <c r="R13" s="173"/>
      <c r="S13" s="173"/>
      <c r="T13" s="173"/>
      <c r="U13" s="173"/>
      <c r="V13" s="173"/>
      <c r="W13" s="173"/>
      <c r="X13" s="173"/>
      <c r="Y13" s="173"/>
      <c r="Z13" s="173"/>
      <c r="AA13" s="173"/>
      <c r="AB13" s="173"/>
      <c r="AC13" s="173"/>
      <c r="AD13" s="173"/>
      <c r="AE13" s="173"/>
      <c r="AF13" s="173"/>
      <c r="AG13" s="173"/>
      <c r="AH13" s="173"/>
      <c r="AI13" s="173"/>
      <c r="AJ13" s="173"/>
      <c r="AK13" s="173"/>
      <c r="AL13" s="141"/>
      <c r="AM13" s="188"/>
      <c r="AN13" s="188"/>
      <c r="AO13" s="188"/>
      <c r="AP13" s="188"/>
      <c r="AQ13" s="188"/>
      <c r="AR13" s="188"/>
      <c r="AS13" s="188"/>
      <c r="AT13" s="188"/>
      <c r="AU13" s="188"/>
      <c r="AV13" s="188"/>
      <c r="AW13" s="188"/>
      <c r="AX13" s="188"/>
      <c r="AY13" s="188"/>
      <c r="AZ13" s="188"/>
      <c r="BA13" s="188"/>
      <c r="BB13" s="188"/>
      <c r="BC13" s="188"/>
      <c r="BD13" s="188"/>
      <c r="BE13" s="188"/>
      <c r="BF13" s="188"/>
      <c r="BG13" s="188"/>
      <c r="BH13" s="188"/>
      <c r="BI13" s="188"/>
      <c r="BJ13" s="188"/>
      <c r="BK13" s="188"/>
      <c r="BL13" s="188"/>
      <c r="BM13" s="188"/>
      <c r="BN13" s="188"/>
      <c r="BO13" s="188"/>
      <c r="BP13" s="188"/>
    </row>
    <row r="14" spans="2:68" x14ac:dyDescent="0.15">
      <c r="B14" s="170">
        <v>25387</v>
      </c>
      <c r="C14" s="170" t="s">
        <v>101</v>
      </c>
      <c r="D14" s="170" t="s">
        <v>79</v>
      </c>
      <c r="E14" s="170" t="s">
        <v>93</v>
      </c>
      <c r="F14" s="170" t="s">
        <v>102</v>
      </c>
      <c r="G14" s="170"/>
      <c r="H14" s="170">
        <v>0</v>
      </c>
      <c r="I14" s="169"/>
      <c r="J14" s="170"/>
      <c r="K14" s="171"/>
      <c r="L14" s="171"/>
      <c r="M14" s="171"/>
      <c r="N14" s="171"/>
      <c r="O14" s="171"/>
      <c r="P14" s="171"/>
      <c r="Q14" s="171"/>
      <c r="R14" s="171"/>
      <c r="S14" s="171"/>
      <c r="T14" s="171"/>
      <c r="U14" s="171"/>
      <c r="V14" s="171"/>
      <c r="W14" s="171"/>
      <c r="X14" s="171"/>
      <c r="Y14" s="171"/>
      <c r="Z14" s="171"/>
      <c r="AA14" s="171"/>
      <c r="AB14" s="171"/>
      <c r="AC14" s="171"/>
      <c r="AD14" s="171"/>
      <c r="AE14" s="171"/>
      <c r="AF14" s="171"/>
      <c r="AG14" s="171"/>
      <c r="AH14" s="171"/>
      <c r="AI14" s="171"/>
      <c r="AJ14" s="171"/>
      <c r="AK14" s="171"/>
      <c r="AL14" s="141"/>
      <c r="AM14" s="188"/>
      <c r="AN14" s="188"/>
      <c r="AO14" s="188"/>
      <c r="AP14" s="188"/>
      <c r="AQ14" s="188"/>
      <c r="AR14" s="188"/>
      <c r="AS14" s="188"/>
      <c r="AT14" s="188"/>
      <c r="AU14" s="188"/>
      <c r="AV14" s="188"/>
      <c r="AW14" s="188"/>
      <c r="AX14" s="188"/>
      <c r="AY14" s="188"/>
      <c r="AZ14" s="188"/>
      <c r="BA14" s="188"/>
      <c r="BB14" s="188"/>
      <c r="BC14" s="188"/>
      <c r="BD14" s="188"/>
      <c r="BE14" s="188"/>
      <c r="BF14" s="188"/>
      <c r="BG14" s="188"/>
      <c r="BH14" s="188"/>
      <c r="BI14" s="188"/>
      <c r="BJ14" s="188"/>
      <c r="BK14" s="188"/>
      <c r="BL14" s="188"/>
      <c r="BM14" s="188"/>
      <c r="BN14" s="188"/>
      <c r="BO14" s="188"/>
      <c r="BP14" s="188"/>
    </row>
    <row r="15" spans="2:68" x14ac:dyDescent="0.15">
      <c r="B15" s="141">
        <v>1949</v>
      </c>
      <c r="C15" s="141" t="s">
        <v>103</v>
      </c>
      <c r="D15" s="141" t="s">
        <v>79</v>
      </c>
      <c r="E15" s="141" t="s">
        <v>93</v>
      </c>
      <c r="F15" s="141" t="s">
        <v>104</v>
      </c>
      <c r="G15" s="141" t="s">
        <v>105</v>
      </c>
      <c r="H15" s="141">
        <v>136</v>
      </c>
      <c r="I15" s="172"/>
      <c r="J15" s="141" t="s">
        <v>83</v>
      </c>
      <c r="K15" s="173" t="s">
        <v>83</v>
      </c>
      <c r="L15" s="173" t="s">
        <v>83</v>
      </c>
      <c r="M15" s="173" t="s">
        <v>83</v>
      </c>
      <c r="N15" s="173" t="s">
        <v>83</v>
      </c>
      <c r="O15" s="173" t="s">
        <v>83</v>
      </c>
      <c r="P15" s="173" t="s">
        <v>83</v>
      </c>
      <c r="Q15" s="173" t="s">
        <v>83</v>
      </c>
      <c r="R15" s="173" t="s">
        <v>83</v>
      </c>
      <c r="S15" s="173" t="s">
        <v>83</v>
      </c>
      <c r="T15" s="173" t="s">
        <v>83</v>
      </c>
      <c r="U15" s="173" t="s">
        <v>83</v>
      </c>
      <c r="V15" s="173" t="s">
        <v>83</v>
      </c>
      <c r="W15" s="173" t="s">
        <v>83</v>
      </c>
      <c r="X15" s="173" t="s">
        <v>83</v>
      </c>
      <c r="Y15" s="173" t="s">
        <v>83</v>
      </c>
      <c r="Z15" s="173" t="s">
        <v>83</v>
      </c>
      <c r="AA15" s="173" t="s">
        <v>83</v>
      </c>
      <c r="AB15" s="173" t="s">
        <v>83</v>
      </c>
      <c r="AC15" s="173" t="s">
        <v>83</v>
      </c>
      <c r="AD15" s="173" t="s">
        <v>83</v>
      </c>
      <c r="AE15" s="173" t="s">
        <v>83</v>
      </c>
      <c r="AF15" s="173" t="s">
        <v>83</v>
      </c>
      <c r="AG15" s="173" t="s">
        <v>83</v>
      </c>
      <c r="AH15" s="173" t="s">
        <v>83</v>
      </c>
      <c r="AI15" s="173" t="s">
        <v>83</v>
      </c>
      <c r="AJ15" s="173" t="s">
        <v>83</v>
      </c>
      <c r="AK15" s="173" t="s">
        <v>83</v>
      </c>
      <c r="AL15" s="141"/>
      <c r="AM15" s="188"/>
      <c r="AN15" s="188"/>
      <c r="AO15" s="188"/>
      <c r="AP15" s="188"/>
      <c r="AQ15" s="188"/>
      <c r="AR15" s="188"/>
      <c r="AS15" s="188"/>
      <c r="AT15" s="188"/>
      <c r="AU15" s="188"/>
      <c r="AV15" s="188"/>
      <c r="AW15" s="188"/>
      <c r="AX15" s="188"/>
      <c r="AY15" s="188"/>
      <c r="AZ15" s="188"/>
      <c r="BA15" s="188"/>
      <c r="BB15" s="188"/>
      <c r="BC15" s="188"/>
      <c r="BD15" s="188"/>
      <c r="BE15" s="188"/>
      <c r="BF15" s="188"/>
      <c r="BG15" s="188"/>
      <c r="BH15" s="188"/>
      <c r="BI15" s="188"/>
      <c r="BJ15" s="188"/>
      <c r="BK15" s="188"/>
      <c r="BL15" s="188"/>
      <c r="BM15" s="188"/>
      <c r="BN15" s="188"/>
      <c r="BO15" s="188"/>
      <c r="BP15" s="188"/>
    </row>
    <row r="16" spans="2:68" x14ac:dyDescent="0.15">
      <c r="B16" s="170">
        <v>26506</v>
      </c>
      <c r="C16" s="170" t="s">
        <v>106</v>
      </c>
      <c r="D16" s="170" t="s">
        <v>79</v>
      </c>
      <c r="E16" s="170" t="s">
        <v>93</v>
      </c>
      <c r="F16" s="170" t="s">
        <v>107</v>
      </c>
      <c r="G16" s="170" t="s">
        <v>108</v>
      </c>
      <c r="H16" s="170">
        <v>371</v>
      </c>
      <c r="I16" s="169" t="s">
        <v>87</v>
      </c>
      <c r="J16" s="170" t="s">
        <v>83</v>
      </c>
      <c r="K16" s="171" t="s">
        <v>83</v>
      </c>
      <c r="L16" s="171" t="s">
        <v>83</v>
      </c>
      <c r="M16" s="171" t="s">
        <v>83</v>
      </c>
      <c r="N16" s="171" t="s">
        <v>83</v>
      </c>
      <c r="O16" s="171" t="s">
        <v>83</v>
      </c>
      <c r="P16" s="171" t="s">
        <v>83</v>
      </c>
      <c r="Q16" s="171" t="s">
        <v>83</v>
      </c>
      <c r="R16" s="171" t="s">
        <v>83</v>
      </c>
      <c r="S16" s="171" t="s">
        <v>83</v>
      </c>
      <c r="T16" s="171" t="s">
        <v>83</v>
      </c>
      <c r="U16" s="171" t="s">
        <v>83</v>
      </c>
      <c r="V16" s="171" t="s">
        <v>83</v>
      </c>
      <c r="W16" s="171" t="s">
        <v>83</v>
      </c>
      <c r="X16" s="171" t="s">
        <v>83</v>
      </c>
      <c r="Y16" s="171" t="s">
        <v>83</v>
      </c>
      <c r="Z16" s="171" t="s">
        <v>83</v>
      </c>
      <c r="AA16" s="171" t="s">
        <v>83</v>
      </c>
      <c r="AB16" s="171" t="s">
        <v>83</v>
      </c>
      <c r="AC16" s="171" t="s">
        <v>83</v>
      </c>
      <c r="AD16" s="171" t="s">
        <v>83</v>
      </c>
      <c r="AE16" s="171" t="s">
        <v>83</v>
      </c>
      <c r="AF16" s="171" t="s">
        <v>83</v>
      </c>
      <c r="AG16" s="171" t="s">
        <v>83</v>
      </c>
      <c r="AH16" s="171" t="s">
        <v>83</v>
      </c>
      <c r="AI16" s="171" t="s">
        <v>83</v>
      </c>
      <c r="AJ16" s="171" t="s">
        <v>83</v>
      </c>
      <c r="AK16" s="171" t="s">
        <v>83</v>
      </c>
      <c r="AL16" s="141"/>
      <c r="AM16" s="188"/>
      <c r="AN16" s="188"/>
      <c r="AO16" s="188"/>
      <c r="AP16" s="188"/>
      <c r="AQ16" s="188"/>
      <c r="AR16" s="188"/>
      <c r="AS16" s="188"/>
      <c r="AT16" s="188"/>
      <c r="AU16" s="188"/>
      <c r="AV16" s="188"/>
      <c r="AW16" s="188"/>
      <c r="AX16" s="188"/>
      <c r="AY16" s="188"/>
      <c r="AZ16" s="188"/>
      <c r="BA16" s="188"/>
      <c r="BB16" s="188"/>
      <c r="BC16" s="188"/>
      <c r="BD16" s="188"/>
      <c r="BE16" s="188"/>
      <c r="BF16" s="188"/>
      <c r="BG16" s="188"/>
      <c r="BH16" s="188"/>
      <c r="BI16" s="188"/>
      <c r="BJ16" s="188"/>
      <c r="BK16" s="188"/>
      <c r="BL16" s="188"/>
      <c r="BM16" s="188"/>
      <c r="BN16" s="188"/>
      <c r="BO16" s="188"/>
      <c r="BP16" s="188"/>
    </row>
    <row r="17" spans="1:68" x14ac:dyDescent="0.15">
      <c r="B17" s="141">
        <v>11619</v>
      </c>
      <c r="C17" s="141" t="s">
        <v>109</v>
      </c>
      <c r="D17" s="141" t="s">
        <v>79</v>
      </c>
      <c r="E17" s="141" t="s">
        <v>93</v>
      </c>
      <c r="F17" s="141" t="s">
        <v>110</v>
      </c>
      <c r="G17" s="141" t="s">
        <v>110</v>
      </c>
      <c r="H17" s="141">
        <v>373</v>
      </c>
      <c r="I17" s="172" t="s">
        <v>87</v>
      </c>
      <c r="J17" s="141" t="s">
        <v>83</v>
      </c>
      <c r="K17" s="173" t="s">
        <v>83</v>
      </c>
      <c r="L17" s="173" t="s">
        <v>83</v>
      </c>
      <c r="M17" s="173" t="s">
        <v>83</v>
      </c>
      <c r="N17" s="173" t="s">
        <v>83</v>
      </c>
      <c r="O17" s="173" t="s">
        <v>83</v>
      </c>
      <c r="P17" s="173" t="s">
        <v>83</v>
      </c>
      <c r="Q17" s="173" t="s">
        <v>83</v>
      </c>
      <c r="R17" s="173" t="s">
        <v>83</v>
      </c>
      <c r="S17" s="173" t="s">
        <v>83</v>
      </c>
      <c r="T17" s="173" t="s">
        <v>83</v>
      </c>
      <c r="U17" s="173" t="s">
        <v>83</v>
      </c>
      <c r="V17" s="173" t="s">
        <v>83</v>
      </c>
      <c r="W17" s="173" t="s">
        <v>83</v>
      </c>
      <c r="X17" s="173" t="s">
        <v>83</v>
      </c>
      <c r="Y17" s="173" t="s">
        <v>83</v>
      </c>
      <c r="Z17" s="173" t="s">
        <v>83</v>
      </c>
      <c r="AA17" s="173" t="s">
        <v>83</v>
      </c>
      <c r="AB17" s="173" t="s">
        <v>83</v>
      </c>
      <c r="AC17" s="173" t="s">
        <v>83</v>
      </c>
      <c r="AD17" s="173" t="s">
        <v>83</v>
      </c>
      <c r="AE17" s="173" t="s">
        <v>83</v>
      </c>
      <c r="AF17" s="173" t="s">
        <v>83</v>
      </c>
      <c r="AG17" s="173" t="s">
        <v>83</v>
      </c>
      <c r="AH17" s="173" t="s">
        <v>83</v>
      </c>
      <c r="AI17" s="173" t="s">
        <v>83</v>
      </c>
      <c r="AJ17" s="173" t="s">
        <v>83</v>
      </c>
      <c r="AK17" s="173" t="s">
        <v>83</v>
      </c>
      <c r="AL17" s="141"/>
      <c r="AM17" s="188"/>
      <c r="AN17" s="188"/>
      <c r="AO17" s="188"/>
      <c r="AP17" s="188"/>
      <c r="AQ17" s="188"/>
      <c r="AR17" s="188"/>
      <c r="AS17" s="188"/>
      <c r="AT17" s="188"/>
      <c r="AU17" s="188"/>
      <c r="AV17" s="188"/>
      <c r="AW17" s="188"/>
      <c r="AX17" s="188"/>
      <c r="AY17" s="188"/>
      <c r="AZ17" s="188"/>
      <c r="BA17" s="188"/>
      <c r="BB17" s="188"/>
      <c r="BC17" s="188"/>
      <c r="BD17" s="188"/>
      <c r="BE17" s="188"/>
      <c r="BF17" s="188"/>
      <c r="BG17" s="188"/>
      <c r="BH17" s="188"/>
      <c r="BI17" s="188"/>
      <c r="BJ17" s="188"/>
      <c r="BK17" s="188"/>
      <c r="BL17" s="188"/>
      <c r="BM17" s="188"/>
      <c r="BN17" s="188"/>
      <c r="BO17" s="188"/>
      <c r="BP17" s="188"/>
    </row>
    <row r="18" spans="1:68" x14ac:dyDescent="0.15">
      <c r="B18" s="170">
        <v>41987</v>
      </c>
      <c r="C18" s="170" t="s">
        <v>111</v>
      </c>
      <c r="D18" s="170" t="s">
        <v>79</v>
      </c>
      <c r="E18" s="170" t="s">
        <v>93</v>
      </c>
      <c r="F18" s="170" t="s">
        <v>112</v>
      </c>
      <c r="G18" s="170" t="s">
        <v>113</v>
      </c>
      <c r="H18" s="170">
        <v>400</v>
      </c>
      <c r="I18" s="169"/>
      <c r="J18" s="170" t="s">
        <v>83</v>
      </c>
      <c r="K18" s="171" t="s">
        <v>83</v>
      </c>
      <c r="L18" s="171" t="s">
        <v>83</v>
      </c>
      <c r="M18" s="171" t="s">
        <v>83</v>
      </c>
      <c r="N18" s="171" t="s">
        <v>83</v>
      </c>
      <c r="O18" s="171" t="s">
        <v>83</v>
      </c>
      <c r="P18" s="171" t="s">
        <v>83</v>
      </c>
      <c r="Q18" s="171" t="s">
        <v>83</v>
      </c>
      <c r="R18" s="171" t="s">
        <v>83</v>
      </c>
      <c r="S18" s="171" t="s">
        <v>83</v>
      </c>
      <c r="T18" s="171" t="s">
        <v>83</v>
      </c>
      <c r="U18" s="171" t="s">
        <v>83</v>
      </c>
      <c r="V18" s="171" t="s">
        <v>83</v>
      </c>
      <c r="W18" s="171" t="s">
        <v>83</v>
      </c>
      <c r="X18" s="171" t="s">
        <v>83</v>
      </c>
      <c r="Y18" s="171" t="s">
        <v>83</v>
      </c>
      <c r="Z18" s="171" t="s">
        <v>83</v>
      </c>
      <c r="AA18" s="171" t="s">
        <v>83</v>
      </c>
      <c r="AB18" s="171" t="s">
        <v>83</v>
      </c>
      <c r="AC18" s="171" t="s">
        <v>83</v>
      </c>
      <c r="AD18" s="171" t="s">
        <v>83</v>
      </c>
      <c r="AE18" s="171" t="s">
        <v>83</v>
      </c>
      <c r="AF18" s="171" t="s">
        <v>83</v>
      </c>
      <c r="AG18" s="171" t="s">
        <v>83</v>
      </c>
      <c r="AH18" s="171" t="s">
        <v>83</v>
      </c>
      <c r="AI18" s="171" t="s">
        <v>83</v>
      </c>
      <c r="AJ18" s="171" t="s">
        <v>83</v>
      </c>
      <c r="AK18" s="171" t="s">
        <v>83</v>
      </c>
      <c r="AL18" s="141"/>
      <c r="AM18" s="188"/>
      <c r="AN18" s="188"/>
      <c r="AO18" s="188"/>
      <c r="AP18" s="188"/>
      <c r="AQ18" s="188"/>
      <c r="AR18" s="188"/>
      <c r="AS18" s="188"/>
      <c r="AT18" s="188"/>
      <c r="AU18" s="188"/>
      <c r="AV18" s="188"/>
      <c r="AW18" s="188"/>
      <c r="AX18" s="188"/>
      <c r="AY18" s="188"/>
      <c r="AZ18" s="188"/>
      <c r="BA18" s="188"/>
      <c r="BB18" s="188"/>
      <c r="BC18" s="188"/>
      <c r="BD18" s="188"/>
      <c r="BE18" s="188"/>
      <c r="BF18" s="188"/>
      <c r="BG18" s="188"/>
      <c r="BH18" s="188"/>
      <c r="BI18" s="188"/>
      <c r="BJ18" s="188"/>
      <c r="BK18" s="188"/>
      <c r="BL18" s="188"/>
      <c r="BM18" s="188"/>
      <c r="BN18" s="188"/>
      <c r="BO18" s="188"/>
      <c r="BP18" s="188"/>
    </row>
    <row r="19" spans="1:68" x14ac:dyDescent="0.15">
      <c r="B19" s="174"/>
      <c r="C19" s="174"/>
      <c r="D19" s="174"/>
      <c r="E19" s="175" t="s">
        <v>114</v>
      </c>
      <c r="F19" s="176"/>
      <c r="G19" s="177">
        <v>11</v>
      </c>
      <c r="H19" s="178">
        <v>1628</v>
      </c>
      <c r="I19" s="174"/>
      <c r="J19" s="179" t="s">
        <v>115</v>
      </c>
      <c r="K19" s="174" t="s">
        <v>116</v>
      </c>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74"/>
      <c r="AK19" s="180"/>
      <c r="AM19" s="188"/>
      <c r="AN19" s="188"/>
      <c r="AO19" s="188"/>
      <c r="AP19" s="188"/>
      <c r="AQ19" s="188"/>
      <c r="AR19" s="188"/>
      <c r="AS19" s="188"/>
      <c r="AT19" s="188"/>
      <c r="AU19" s="188"/>
      <c r="AV19" s="188"/>
      <c r="AW19" s="188"/>
      <c r="AX19" s="188"/>
      <c r="AY19" s="188"/>
      <c r="AZ19" s="188"/>
      <c r="BA19" s="188"/>
      <c r="BB19" s="188"/>
      <c r="BC19" s="188"/>
      <c r="BD19" s="188"/>
      <c r="BE19" s="188"/>
      <c r="BF19" s="188"/>
      <c r="BG19" s="188"/>
      <c r="BH19" s="188"/>
      <c r="BI19" s="188"/>
      <c r="BJ19" s="188"/>
      <c r="BK19" s="188"/>
      <c r="BL19" s="188"/>
      <c r="BM19" s="188"/>
      <c r="BN19" s="188"/>
      <c r="BO19" s="188"/>
      <c r="BP19" s="188"/>
    </row>
    <row r="20" spans="1:68" x14ac:dyDescent="0.15">
      <c r="J20" s="141" t="s">
        <v>88</v>
      </c>
      <c r="K20" t="s">
        <v>117</v>
      </c>
      <c r="AK20" s="182"/>
      <c r="AM20" s="188"/>
      <c r="AN20" s="188"/>
      <c r="AO20" s="188"/>
      <c r="AP20" s="188"/>
      <c r="AQ20" s="188"/>
      <c r="AR20" s="188"/>
      <c r="AS20" s="188"/>
      <c r="AT20" s="188"/>
      <c r="AU20" s="188"/>
      <c r="AV20" s="188"/>
      <c r="AW20" s="188"/>
      <c r="AX20" s="188"/>
      <c r="AY20" s="188"/>
      <c r="AZ20" s="188"/>
      <c r="BA20" s="188"/>
      <c r="BB20" s="188"/>
      <c r="BC20" s="188"/>
      <c r="BD20" s="188"/>
      <c r="BE20" s="188"/>
      <c r="BF20" s="188"/>
      <c r="BG20" s="188"/>
      <c r="BH20" s="188"/>
      <c r="BI20" s="188"/>
      <c r="BJ20" s="188"/>
      <c r="BK20" s="188"/>
      <c r="BL20" s="188"/>
      <c r="BM20" s="188"/>
      <c r="BN20" s="188"/>
      <c r="BO20" s="188"/>
      <c r="BP20" s="188"/>
    </row>
    <row r="21" spans="1:68" x14ac:dyDescent="0.15">
      <c r="J21" s="141" t="s">
        <v>83</v>
      </c>
      <c r="K21" t="s">
        <v>118</v>
      </c>
      <c r="AK21" s="182"/>
      <c r="AM21" s="188"/>
      <c r="AN21" s="188"/>
      <c r="AO21" s="188"/>
      <c r="AP21" s="188"/>
      <c r="AQ21" s="188"/>
      <c r="AR21" s="188"/>
      <c r="AS21" s="188"/>
      <c r="AT21" s="188"/>
      <c r="AU21" s="188"/>
      <c r="AV21" s="188"/>
      <c r="AW21" s="188"/>
      <c r="AX21" s="188"/>
      <c r="AY21" s="188"/>
      <c r="AZ21" s="188"/>
      <c r="BA21" s="188"/>
      <c r="BB21" s="188"/>
      <c r="BC21" s="188"/>
      <c r="BD21" s="188"/>
      <c r="BE21" s="188"/>
      <c r="BF21" s="188"/>
      <c r="BG21" s="188"/>
      <c r="BH21" s="188"/>
      <c r="BI21" s="188"/>
      <c r="BJ21" s="188"/>
      <c r="BK21" s="188"/>
      <c r="BL21" s="188"/>
      <c r="BM21" s="188"/>
      <c r="BN21" s="188"/>
      <c r="BO21" s="188"/>
      <c r="BP21" s="188"/>
    </row>
    <row r="22" spans="1:68" x14ac:dyDescent="0.15">
      <c r="J22" s="141" t="s">
        <v>119</v>
      </c>
      <c r="AK22" s="182"/>
      <c r="AM22" s="188"/>
      <c r="AN22" s="188"/>
      <c r="AO22" s="188"/>
      <c r="AP22" s="188"/>
      <c r="AQ22" s="188"/>
      <c r="AR22" s="188"/>
      <c r="AS22" s="188"/>
      <c r="AT22" s="188"/>
      <c r="AU22" s="188"/>
      <c r="AV22" s="188"/>
      <c r="AW22" s="188"/>
      <c r="AX22" s="188"/>
      <c r="AY22" s="188"/>
      <c r="AZ22" s="188"/>
      <c r="BA22" s="188"/>
      <c r="BB22" s="188"/>
      <c r="BC22" s="188"/>
      <c r="BD22" s="188"/>
      <c r="BE22" s="188"/>
      <c r="BF22" s="188"/>
      <c r="BG22" s="188"/>
      <c r="BH22" s="188"/>
      <c r="BI22" s="188"/>
      <c r="BJ22" s="188"/>
      <c r="BK22" s="188"/>
      <c r="BL22" s="188"/>
      <c r="BM22" s="188"/>
      <c r="BN22" s="188"/>
      <c r="BO22" s="188"/>
      <c r="BP22" s="188"/>
    </row>
    <row r="23" spans="1:68" x14ac:dyDescent="0.15">
      <c r="J23" s="183" t="s">
        <v>87</v>
      </c>
      <c r="K23" s="181" t="s">
        <v>120</v>
      </c>
      <c r="L23" s="184"/>
      <c r="M23" s="184"/>
      <c r="N23" s="184"/>
      <c r="O23" s="184"/>
      <c r="P23" s="184"/>
      <c r="Q23" s="184"/>
      <c r="R23" s="184"/>
      <c r="S23" s="184"/>
      <c r="T23" s="184"/>
      <c r="U23" s="184"/>
      <c r="V23" s="184"/>
      <c r="W23" s="184"/>
      <c r="X23" s="184"/>
      <c r="Y23" s="184"/>
      <c r="Z23" s="184"/>
      <c r="AA23" s="184"/>
      <c r="AB23" s="184"/>
      <c r="AC23" s="184"/>
      <c r="AD23" s="184"/>
      <c r="AE23" s="184"/>
      <c r="AF23" s="184"/>
      <c r="AG23" s="184"/>
      <c r="AH23" s="184"/>
      <c r="AI23" s="184"/>
      <c r="AJ23" s="184"/>
      <c r="AK23" s="185"/>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row>
    <row r="24" spans="1:68" x14ac:dyDescent="0.15">
      <c r="B24" s="190" t="s">
        <v>59</v>
      </c>
      <c r="AJ24" s="186"/>
      <c r="AM24" s="188"/>
      <c r="AN24" s="188"/>
      <c r="AO24" s="188"/>
      <c r="AP24" s="188"/>
      <c r="AQ24" s="188"/>
      <c r="AR24" s="188"/>
      <c r="AS24" s="188"/>
      <c r="AT24" s="188"/>
      <c r="AU24" s="188"/>
      <c r="AV24" s="188"/>
      <c r="AW24" s="188"/>
      <c r="AX24" s="188"/>
      <c r="AY24" s="188"/>
      <c r="AZ24" s="188"/>
      <c r="BA24" s="188"/>
      <c r="BB24" s="188"/>
      <c r="BC24" s="188"/>
      <c r="BD24" s="188"/>
      <c r="BE24" s="188"/>
      <c r="BF24" s="188"/>
      <c r="BG24" s="188"/>
      <c r="BH24" s="188"/>
      <c r="BI24" s="188"/>
      <c r="BJ24" s="188"/>
      <c r="BK24" s="188"/>
      <c r="BL24" s="188"/>
      <c r="BM24" s="188"/>
      <c r="BN24" s="188"/>
      <c r="BO24" s="188"/>
      <c r="BP24" s="188"/>
    </row>
    <row r="25" spans="1:68" x14ac:dyDescent="0.15">
      <c r="A25" s="160"/>
      <c r="B25" s="201" t="s">
        <v>10</v>
      </c>
      <c r="C25" s="202"/>
      <c r="D25" s="202"/>
      <c r="E25" s="202"/>
      <c r="F25" s="202"/>
      <c r="G25" s="202"/>
      <c r="H25" s="202"/>
      <c r="I25" s="202"/>
      <c r="J25" s="202"/>
      <c r="K25" s="202"/>
      <c r="L25" s="202"/>
      <c r="M25" s="202"/>
      <c r="N25" s="202"/>
      <c r="O25" s="202"/>
      <c r="P25" s="202"/>
      <c r="Q25" s="202"/>
      <c r="R25" s="202"/>
      <c r="S25" s="202"/>
      <c r="T25" s="202"/>
      <c r="U25" s="202"/>
      <c r="V25" s="202"/>
      <c r="W25" s="202"/>
      <c r="X25" s="202"/>
      <c r="Y25" s="202"/>
      <c r="Z25" s="202"/>
      <c r="AA25" s="202"/>
      <c r="AB25" s="202"/>
      <c r="AC25" s="202"/>
      <c r="AD25" s="202"/>
      <c r="AE25" s="202"/>
      <c r="AF25" s="202"/>
      <c r="AG25" s="202"/>
      <c r="AH25" s="202"/>
      <c r="AI25" s="202"/>
      <c r="AJ25" s="202"/>
      <c r="AK25" s="202"/>
      <c r="AL25" s="202"/>
      <c r="AM25" s="188"/>
      <c r="AN25" s="188"/>
      <c r="AO25" s="188"/>
      <c r="AP25" s="188"/>
      <c r="AQ25" s="188"/>
      <c r="AR25" s="188"/>
      <c r="AS25" s="188"/>
      <c r="AT25" s="188"/>
      <c r="AU25" s="188"/>
      <c r="AV25" s="188"/>
      <c r="AW25" s="188"/>
      <c r="AX25" s="188"/>
      <c r="AY25" s="188"/>
      <c r="AZ25" s="188"/>
      <c r="BA25" s="188"/>
      <c r="BB25" s="188"/>
      <c r="BC25" s="188"/>
      <c r="BD25" s="188"/>
      <c r="BE25" s="188"/>
      <c r="BF25" s="188"/>
      <c r="BG25" s="188"/>
      <c r="BH25" s="188"/>
      <c r="BI25" s="188"/>
      <c r="BJ25" s="188"/>
      <c r="BK25" s="188"/>
      <c r="BL25" s="188"/>
      <c r="BM25" s="188"/>
      <c r="BN25" s="188"/>
      <c r="BO25" s="188"/>
      <c r="BP25" s="188"/>
    </row>
    <row r="26" spans="1:68" x14ac:dyDescent="0.15">
      <c r="A26" s="160"/>
      <c r="B26" s="217"/>
      <c r="C26" s="217"/>
      <c r="D26" s="217"/>
      <c r="E26" s="217"/>
      <c r="F26" s="217"/>
      <c r="G26" s="217"/>
      <c r="H26" s="217"/>
      <c r="I26" s="217"/>
      <c r="J26" s="217"/>
      <c r="K26" s="217"/>
      <c r="L26" s="217"/>
      <c r="M26" s="217"/>
      <c r="N26" s="217"/>
      <c r="O26" s="217"/>
      <c r="P26" s="217"/>
      <c r="Q26" s="217"/>
      <c r="R26" s="217"/>
      <c r="S26" s="217"/>
      <c r="T26" s="217"/>
      <c r="U26" s="217"/>
      <c r="V26" s="217"/>
      <c r="W26" s="217"/>
      <c r="X26" s="217"/>
      <c r="Y26" s="217"/>
      <c r="Z26" s="217"/>
      <c r="AA26" s="217"/>
      <c r="AB26" s="217"/>
      <c r="AC26" s="217"/>
      <c r="AD26" s="217"/>
      <c r="AE26" s="217"/>
      <c r="AF26" s="217"/>
      <c r="AG26" s="217"/>
      <c r="AH26" s="217"/>
      <c r="AI26" s="217"/>
      <c r="AJ26" s="217"/>
      <c r="AK26" s="217"/>
      <c r="AL26" s="217"/>
      <c r="AM26" s="188"/>
      <c r="AN26" s="188"/>
      <c r="AO26" s="188"/>
      <c r="AP26" s="188"/>
      <c r="AQ26" s="188"/>
      <c r="AR26" s="188"/>
      <c r="AS26" s="188"/>
      <c r="AT26" s="188"/>
      <c r="AU26" s="188"/>
      <c r="AV26" s="188"/>
      <c r="AW26" s="188"/>
      <c r="AX26" s="188"/>
      <c r="AY26" s="188"/>
      <c r="AZ26" s="188"/>
      <c r="BA26" s="188"/>
      <c r="BB26" s="188"/>
      <c r="BC26" s="188"/>
      <c r="BD26" s="188"/>
      <c r="BE26" s="188"/>
      <c r="BF26" s="188"/>
      <c r="BG26" s="188"/>
      <c r="BH26" s="188"/>
      <c r="BI26" s="188"/>
      <c r="BJ26" s="188"/>
      <c r="BK26" s="188"/>
      <c r="BL26" s="188"/>
      <c r="BM26" s="188"/>
      <c r="BN26" s="188"/>
      <c r="BO26" s="188"/>
      <c r="BP26" s="188"/>
    </row>
    <row r="27" spans="1:68" x14ac:dyDescent="0.15">
      <c r="A27" s="160"/>
      <c r="B27" s="217"/>
      <c r="C27" s="217"/>
      <c r="D27" s="217"/>
      <c r="E27" s="217"/>
      <c r="F27" s="217"/>
      <c r="G27" s="217"/>
      <c r="H27" s="217"/>
      <c r="I27" s="217"/>
      <c r="J27" s="217"/>
      <c r="K27" s="217"/>
      <c r="L27" s="217"/>
      <c r="M27" s="217"/>
      <c r="N27" s="217"/>
      <c r="O27" s="217"/>
      <c r="P27" s="217"/>
      <c r="Q27" s="217"/>
      <c r="R27" s="217"/>
      <c r="S27" s="217"/>
      <c r="T27" s="217"/>
      <c r="U27" s="217"/>
      <c r="V27" s="217"/>
      <c r="W27" s="217"/>
      <c r="X27" s="217"/>
      <c r="Y27" s="217"/>
      <c r="Z27" s="217"/>
      <c r="AA27" s="217"/>
      <c r="AB27" s="217"/>
      <c r="AC27" s="217"/>
      <c r="AD27" s="217"/>
      <c r="AE27" s="217"/>
      <c r="AF27" s="217"/>
      <c r="AG27" s="217"/>
      <c r="AH27" s="217"/>
      <c r="AI27" s="217"/>
      <c r="AJ27" s="217"/>
      <c r="AK27" s="217"/>
      <c r="AL27" s="217"/>
      <c r="AM27" s="188"/>
      <c r="AN27" s="188"/>
      <c r="AO27" s="188"/>
      <c r="AP27" s="188"/>
      <c r="AQ27" s="188"/>
      <c r="AR27" s="188"/>
      <c r="AS27" s="188"/>
      <c r="AT27" s="188"/>
      <c r="AU27" s="188"/>
      <c r="AV27" s="188"/>
      <c r="AW27" s="188"/>
      <c r="AX27" s="188"/>
      <c r="AY27" s="188"/>
      <c r="AZ27" s="188"/>
      <c r="BA27" s="188"/>
      <c r="BB27" s="188"/>
      <c r="BC27" s="188"/>
      <c r="BD27" s="188"/>
      <c r="BE27" s="188"/>
      <c r="BF27" s="188"/>
      <c r="BG27" s="188"/>
      <c r="BH27" s="188"/>
      <c r="BI27" s="188"/>
      <c r="BJ27" s="188"/>
      <c r="BK27" s="188"/>
      <c r="BL27" s="188"/>
      <c r="BM27" s="188"/>
      <c r="BN27" s="188"/>
      <c r="BO27" s="188"/>
      <c r="BP27" s="188"/>
    </row>
    <row r="28" spans="1:68" x14ac:dyDescent="0.15">
      <c r="A28" s="188"/>
      <c r="B28" s="188"/>
      <c r="C28" s="188"/>
      <c r="D28" s="188"/>
      <c r="E28" s="188"/>
      <c r="F28" s="188"/>
      <c r="G28" s="188"/>
      <c r="H28" s="188"/>
      <c r="I28" s="188"/>
      <c r="J28" s="188"/>
      <c r="K28" s="188"/>
      <c r="L28" s="188"/>
      <c r="M28" s="188"/>
      <c r="N28" s="188"/>
      <c r="O28" s="188"/>
      <c r="P28" s="188"/>
      <c r="Q28" s="188"/>
      <c r="R28" s="188"/>
      <c r="S28" s="188"/>
      <c r="T28" s="188"/>
      <c r="U28" s="188"/>
      <c r="V28" s="188"/>
      <c r="W28" s="188"/>
      <c r="X28" s="188"/>
      <c r="Y28" s="188"/>
      <c r="Z28" s="188"/>
      <c r="AA28" s="188"/>
      <c r="AB28" s="188"/>
      <c r="AC28" s="188"/>
      <c r="AD28" s="188"/>
      <c r="AE28" s="188"/>
      <c r="AF28" s="188"/>
      <c r="AG28" s="188"/>
      <c r="AH28" s="188"/>
      <c r="AI28" s="188"/>
      <c r="AJ28" s="188"/>
      <c r="AK28" s="188"/>
      <c r="AL28" s="188"/>
      <c r="AM28" s="188"/>
      <c r="AN28" s="188"/>
      <c r="AO28" s="188"/>
      <c r="AP28" s="188"/>
      <c r="AQ28" s="188"/>
      <c r="AR28" s="188"/>
      <c r="AS28" s="188"/>
      <c r="AT28" s="188"/>
      <c r="AU28" s="188"/>
      <c r="AV28" s="188"/>
      <c r="AW28" s="188"/>
      <c r="AX28" s="188"/>
      <c r="AY28" s="188"/>
      <c r="AZ28" s="188"/>
      <c r="BA28" s="188"/>
      <c r="BB28" s="188"/>
      <c r="BC28" s="188"/>
      <c r="BD28" s="188"/>
      <c r="BE28" s="188"/>
      <c r="BF28" s="188"/>
      <c r="BG28" s="188"/>
      <c r="BH28" s="188"/>
      <c r="BI28" s="188"/>
      <c r="BJ28" s="188"/>
      <c r="BK28" s="188"/>
      <c r="BL28" s="188"/>
      <c r="BM28" s="188"/>
      <c r="BN28" s="188"/>
      <c r="BO28" s="188"/>
      <c r="BP28" s="188"/>
    </row>
    <row r="29" spans="1:68" x14ac:dyDescent="0.15">
      <c r="A29" s="188"/>
      <c r="B29" s="188"/>
      <c r="C29" s="188"/>
      <c r="D29" s="188"/>
      <c r="E29" s="188"/>
      <c r="F29" s="188"/>
      <c r="G29" s="188"/>
      <c r="H29" s="188"/>
      <c r="I29" s="188"/>
      <c r="J29" s="188"/>
      <c r="K29" s="188"/>
      <c r="L29" s="188"/>
      <c r="M29" s="188"/>
      <c r="N29" s="188"/>
      <c r="O29" s="188"/>
      <c r="P29" s="188"/>
      <c r="Q29" s="188"/>
      <c r="R29" s="188"/>
      <c r="S29" s="188"/>
      <c r="T29" s="188"/>
      <c r="U29" s="188"/>
      <c r="V29" s="188"/>
      <c r="W29" s="188"/>
      <c r="X29" s="188"/>
      <c r="Y29" s="188"/>
      <c r="Z29" s="188"/>
      <c r="AA29" s="188"/>
      <c r="AB29" s="188"/>
      <c r="AC29" s="188"/>
      <c r="AD29" s="188"/>
      <c r="AE29" s="188"/>
      <c r="AF29" s="188"/>
      <c r="AG29" s="188"/>
      <c r="AH29" s="188"/>
      <c r="AI29" s="188"/>
      <c r="AJ29" s="188"/>
      <c r="AK29" s="188"/>
      <c r="AL29" s="188"/>
      <c r="AM29" s="188"/>
      <c r="AN29" s="188"/>
      <c r="AO29" s="188"/>
      <c r="AP29" s="188"/>
      <c r="AQ29" s="188"/>
      <c r="AR29" s="188"/>
      <c r="AS29" s="188"/>
      <c r="AT29" s="188"/>
      <c r="AU29" s="188"/>
      <c r="AV29" s="188"/>
      <c r="AW29" s="188"/>
      <c r="AX29" s="188"/>
      <c r="AY29" s="188"/>
      <c r="AZ29" s="188"/>
      <c r="BA29" s="188"/>
      <c r="BB29" s="188"/>
      <c r="BC29" s="188"/>
      <c r="BD29" s="188"/>
      <c r="BE29" s="188"/>
      <c r="BF29" s="188"/>
      <c r="BG29" s="188"/>
      <c r="BH29" s="188"/>
      <c r="BI29" s="188"/>
      <c r="BJ29" s="188"/>
      <c r="BK29" s="188"/>
      <c r="BL29" s="188"/>
      <c r="BM29" s="188"/>
      <c r="BN29" s="188"/>
      <c r="BO29" s="188"/>
      <c r="BP29" s="188"/>
    </row>
    <row r="30" spans="1:68" x14ac:dyDescent="0.15">
      <c r="A30" s="188"/>
      <c r="B30" s="188"/>
      <c r="C30" s="188"/>
      <c r="D30" s="188"/>
      <c r="E30" s="188"/>
      <c r="F30" s="188"/>
      <c r="G30" s="188"/>
      <c r="H30" s="188"/>
      <c r="I30" s="188"/>
      <c r="J30" s="188"/>
      <c r="K30" s="188"/>
      <c r="L30" s="188"/>
      <c r="M30" s="188"/>
      <c r="N30" s="188"/>
      <c r="O30" s="188"/>
      <c r="P30" s="188"/>
      <c r="Q30" s="188"/>
      <c r="R30" s="188"/>
      <c r="S30" s="188"/>
      <c r="T30" s="188"/>
      <c r="U30" s="188"/>
      <c r="V30" s="188"/>
      <c r="W30" s="188"/>
      <c r="X30" s="188"/>
      <c r="Y30" s="188"/>
      <c r="Z30" s="188"/>
      <c r="AA30" s="188"/>
      <c r="AB30" s="188"/>
      <c r="AC30" s="188"/>
      <c r="AD30" s="188"/>
      <c r="AE30" s="188"/>
      <c r="AF30" s="188"/>
      <c r="AG30" s="188"/>
      <c r="AH30" s="188"/>
      <c r="AI30" s="188"/>
      <c r="AJ30" s="188"/>
      <c r="AK30" s="188"/>
      <c r="AL30" s="188"/>
      <c r="AM30" s="188"/>
      <c r="AN30" s="188"/>
      <c r="AO30" s="188"/>
      <c r="AP30" s="188"/>
      <c r="AQ30" s="188"/>
      <c r="AR30" s="188"/>
      <c r="AS30" s="188"/>
      <c r="AT30" s="188"/>
      <c r="AU30" s="188"/>
      <c r="AV30" s="188"/>
      <c r="AW30" s="188"/>
      <c r="AX30" s="188"/>
      <c r="AY30" s="188"/>
      <c r="AZ30" s="188"/>
      <c r="BA30" s="188"/>
      <c r="BB30" s="188"/>
      <c r="BC30" s="188"/>
      <c r="BD30" s="188"/>
      <c r="BE30" s="188"/>
      <c r="BF30" s="188"/>
      <c r="BG30" s="188"/>
      <c r="BH30" s="188"/>
      <c r="BI30" s="188"/>
      <c r="BJ30" s="188"/>
      <c r="BK30" s="188"/>
      <c r="BL30" s="188"/>
      <c r="BM30" s="188"/>
      <c r="BN30" s="188"/>
      <c r="BO30" s="188"/>
      <c r="BP30" s="188"/>
    </row>
    <row r="31" spans="1:68" x14ac:dyDescent="0.15">
      <c r="A31" s="188"/>
      <c r="B31" s="188"/>
      <c r="C31" s="188"/>
      <c r="D31" s="188"/>
      <c r="E31" s="188"/>
      <c r="F31" s="188"/>
      <c r="G31" s="188"/>
      <c r="H31" s="188"/>
      <c r="I31" s="188"/>
      <c r="J31" s="188"/>
      <c r="K31" s="188"/>
      <c r="L31" s="188"/>
      <c r="M31" s="188"/>
      <c r="N31" s="188"/>
      <c r="O31" s="188"/>
      <c r="P31" s="188"/>
      <c r="Q31" s="188"/>
      <c r="R31" s="188"/>
      <c r="S31" s="188"/>
      <c r="T31" s="188"/>
      <c r="U31" s="188"/>
      <c r="V31" s="188"/>
      <c r="W31" s="188"/>
      <c r="X31" s="188"/>
      <c r="Y31" s="188"/>
      <c r="Z31" s="188"/>
      <c r="AA31" s="188"/>
      <c r="AB31" s="188"/>
      <c r="AC31" s="188"/>
      <c r="AD31" s="188"/>
      <c r="AE31" s="188"/>
      <c r="AF31" s="188"/>
      <c r="AG31" s="188"/>
      <c r="AH31" s="188"/>
      <c r="AI31" s="188"/>
      <c r="AJ31" s="188"/>
      <c r="AK31" s="188"/>
      <c r="AL31" s="188"/>
      <c r="AM31" s="188"/>
      <c r="AN31" s="188"/>
      <c r="AO31" s="188"/>
      <c r="AP31" s="188"/>
      <c r="AQ31" s="188"/>
      <c r="AR31" s="188"/>
      <c r="AS31" s="188"/>
      <c r="AT31" s="188"/>
      <c r="AU31" s="188"/>
      <c r="AV31" s="188"/>
      <c r="AW31" s="188"/>
      <c r="AX31" s="188"/>
      <c r="AY31" s="188"/>
      <c r="AZ31" s="188"/>
      <c r="BA31" s="188"/>
      <c r="BB31" s="188"/>
      <c r="BC31" s="188"/>
      <c r="BD31" s="188"/>
      <c r="BE31" s="188"/>
      <c r="BF31" s="188"/>
      <c r="BG31" s="188"/>
      <c r="BH31" s="188"/>
      <c r="BI31" s="188"/>
      <c r="BJ31" s="188"/>
      <c r="BK31" s="188"/>
      <c r="BL31" s="188"/>
      <c r="BM31" s="188"/>
      <c r="BN31" s="188"/>
      <c r="BO31" s="188"/>
      <c r="BP31" s="188"/>
    </row>
    <row r="32" spans="1:68" x14ac:dyDescent="0.15">
      <c r="A32" s="188"/>
      <c r="B32" s="188"/>
      <c r="C32" s="188"/>
      <c r="D32" s="188"/>
      <c r="E32" s="188"/>
      <c r="F32" s="188"/>
      <c r="G32" s="188"/>
      <c r="H32" s="188"/>
      <c r="I32" s="188"/>
      <c r="J32" s="188"/>
      <c r="K32" s="188"/>
      <c r="L32" s="188"/>
      <c r="M32" s="188"/>
      <c r="N32" s="188"/>
      <c r="O32" s="188"/>
      <c r="P32" s="188"/>
      <c r="Q32" s="188"/>
      <c r="R32" s="188"/>
      <c r="S32" s="188"/>
      <c r="T32" s="188"/>
      <c r="U32" s="188"/>
      <c r="V32" s="188"/>
      <c r="W32" s="188"/>
      <c r="X32" s="188"/>
      <c r="Y32" s="188"/>
      <c r="Z32" s="188"/>
      <c r="AA32" s="188"/>
      <c r="AB32" s="188"/>
      <c r="AC32" s="188"/>
      <c r="AD32" s="188"/>
      <c r="AE32" s="188"/>
      <c r="AF32" s="188"/>
      <c r="AG32" s="188"/>
      <c r="AH32" s="188"/>
      <c r="AI32" s="188"/>
      <c r="AJ32" s="188"/>
      <c r="AK32" s="188"/>
      <c r="AL32" s="188"/>
      <c r="AM32" s="188"/>
      <c r="AN32" s="188"/>
      <c r="AO32" s="188"/>
      <c r="AP32" s="188"/>
      <c r="AQ32" s="188"/>
      <c r="AR32" s="188"/>
      <c r="AS32" s="188"/>
      <c r="AT32" s="188"/>
      <c r="AU32" s="188"/>
      <c r="AV32" s="188"/>
      <c r="AW32" s="188"/>
      <c r="AX32" s="188"/>
      <c r="AY32" s="188"/>
      <c r="AZ32" s="188"/>
      <c r="BA32" s="188"/>
      <c r="BB32" s="188"/>
      <c r="BC32" s="188"/>
      <c r="BD32" s="188"/>
      <c r="BE32" s="188"/>
      <c r="BF32" s="188"/>
      <c r="BG32" s="188"/>
      <c r="BH32" s="188"/>
      <c r="BI32" s="188"/>
      <c r="BJ32" s="188"/>
      <c r="BK32" s="188"/>
      <c r="BL32" s="188"/>
      <c r="BM32" s="188"/>
      <c r="BN32" s="188"/>
      <c r="BO32" s="188"/>
      <c r="BP32" s="188"/>
    </row>
    <row r="33" spans="1:68" x14ac:dyDescent="0.15">
      <c r="A33" s="188"/>
      <c r="B33" s="188"/>
      <c r="C33" s="188"/>
      <c r="D33" s="188"/>
      <c r="E33" s="188"/>
      <c r="F33" s="188"/>
      <c r="G33" s="188"/>
      <c r="H33" s="188"/>
      <c r="I33" s="188"/>
      <c r="J33" s="188"/>
      <c r="K33" s="188"/>
      <c r="L33" s="188"/>
      <c r="M33" s="188"/>
      <c r="N33" s="188"/>
      <c r="O33" s="188"/>
      <c r="P33" s="188"/>
      <c r="Q33" s="188"/>
      <c r="R33" s="188"/>
      <c r="S33" s="188"/>
      <c r="T33" s="188"/>
      <c r="U33" s="188"/>
      <c r="V33" s="188"/>
      <c r="W33" s="188"/>
      <c r="X33" s="188"/>
      <c r="Y33" s="188"/>
      <c r="Z33" s="188"/>
      <c r="AA33" s="188"/>
      <c r="AB33" s="188"/>
      <c r="AC33" s="188"/>
      <c r="AD33" s="188"/>
      <c r="AE33" s="188"/>
      <c r="AF33" s="188"/>
      <c r="AG33" s="188"/>
      <c r="AH33" s="188"/>
      <c r="AI33" s="188"/>
      <c r="AJ33" s="188"/>
      <c r="AK33" s="188"/>
      <c r="AL33" s="188"/>
      <c r="AM33" s="188"/>
      <c r="AN33" s="188"/>
      <c r="AO33" s="188"/>
      <c r="AP33" s="188"/>
      <c r="AQ33" s="188"/>
      <c r="AR33" s="188"/>
      <c r="AS33" s="188"/>
      <c r="AT33" s="188"/>
      <c r="AU33" s="188"/>
      <c r="AV33" s="188"/>
      <c r="AW33" s="188"/>
      <c r="AX33" s="188"/>
      <c r="AY33" s="188"/>
      <c r="AZ33" s="188"/>
      <c r="BA33" s="188"/>
      <c r="BB33" s="188"/>
      <c r="BC33" s="188"/>
      <c r="BD33" s="188"/>
      <c r="BE33" s="188"/>
      <c r="BF33" s="188"/>
      <c r="BG33" s="188"/>
      <c r="BH33" s="188"/>
      <c r="BI33" s="188"/>
      <c r="BJ33" s="188"/>
      <c r="BK33" s="188"/>
      <c r="BL33" s="188"/>
      <c r="BM33" s="188"/>
      <c r="BN33" s="188"/>
      <c r="BO33" s="188"/>
      <c r="BP33" s="188"/>
    </row>
    <row r="34" spans="1:68" x14ac:dyDescent="0.15">
      <c r="A34" s="188"/>
      <c r="B34" s="188"/>
      <c r="C34" s="188"/>
      <c r="D34" s="188"/>
      <c r="E34" s="188"/>
      <c r="F34" s="188"/>
      <c r="G34" s="188"/>
      <c r="H34" s="188"/>
      <c r="I34" s="188"/>
      <c r="J34" s="188"/>
      <c r="K34" s="188"/>
      <c r="L34" s="188"/>
      <c r="M34" s="188"/>
      <c r="N34" s="188"/>
      <c r="O34" s="188"/>
      <c r="P34" s="188"/>
      <c r="Q34" s="188"/>
      <c r="R34" s="188"/>
      <c r="S34" s="188"/>
      <c r="T34" s="188"/>
      <c r="U34" s="188"/>
      <c r="V34" s="188"/>
      <c r="W34" s="188"/>
      <c r="X34" s="188"/>
      <c r="Y34" s="188"/>
      <c r="Z34" s="188"/>
      <c r="AA34" s="188"/>
      <c r="AB34" s="188"/>
      <c r="AC34" s="188"/>
      <c r="AD34" s="188"/>
      <c r="AE34" s="188"/>
      <c r="AF34" s="188"/>
      <c r="AG34" s="188"/>
      <c r="AH34" s="188"/>
      <c r="AI34" s="188"/>
      <c r="AJ34" s="188"/>
      <c r="AK34" s="188"/>
      <c r="AL34" s="188"/>
      <c r="AM34" s="188"/>
      <c r="AN34" s="188"/>
      <c r="AO34" s="188"/>
      <c r="AP34" s="188"/>
      <c r="AQ34" s="188"/>
      <c r="AR34" s="188"/>
      <c r="AS34" s="188"/>
      <c r="AT34" s="188"/>
      <c r="AU34" s="188"/>
      <c r="AV34" s="188"/>
      <c r="AW34" s="188"/>
      <c r="AX34" s="188"/>
      <c r="AY34" s="188"/>
      <c r="AZ34" s="188"/>
      <c r="BA34" s="188"/>
      <c r="BB34" s="188"/>
      <c r="BC34" s="188"/>
      <c r="BD34" s="188"/>
      <c r="BE34" s="188"/>
      <c r="BF34" s="188"/>
      <c r="BG34" s="188"/>
      <c r="BH34" s="188"/>
      <c r="BI34" s="188"/>
      <c r="BJ34" s="188"/>
      <c r="BK34" s="188"/>
      <c r="BL34" s="188"/>
      <c r="BM34" s="188"/>
      <c r="BN34" s="188"/>
      <c r="BO34" s="188"/>
      <c r="BP34" s="188"/>
    </row>
    <row r="35" spans="1:68" x14ac:dyDescent="0.15">
      <c r="A35" s="188"/>
      <c r="B35" s="188"/>
      <c r="C35" s="188"/>
      <c r="D35" s="188"/>
      <c r="E35" s="188"/>
      <c r="F35" s="188"/>
      <c r="G35" s="188"/>
      <c r="H35" s="188"/>
      <c r="I35" s="188"/>
      <c r="J35" s="188"/>
      <c r="K35" s="188"/>
      <c r="L35" s="188"/>
      <c r="M35" s="188"/>
      <c r="N35" s="188"/>
      <c r="O35" s="188"/>
      <c r="P35" s="188"/>
      <c r="Q35" s="188"/>
      <c r="R35" s="188"/>
      <c r="S35" s="188"/>
      <c r="T35" s="188"/>
      <c r="U35" s="188"/>
      <c r="V35" s="188"/>
      <c r="W35" s="188"/>
      <c r="X35" s="188"/>
      <c r="Y35" s="188"/>
      <c r="Z35" s="188"/>
      <c r="AA35" s="188"/>
      <c r="AB35" s="188"/>
      <c r="AC35" s="188"/>
      <c r="AD35" s="188"/>
      <c r="AE35" s="188"/>
      <c r="AF35" s="188"/>
      <c r="AG35" s="188"/>
      <c r="AH35" s="188"/>
      <c r="AI35" s="188"/>
      <c r="AJ35" s="188"/>
      <c r="AK35" s="188"/>
      <c r="AL35" s="188"/>
      <c r="AM35" s="188"/>
      <c r="AN35" s="188"/>
      <c r="AO35" s="188"/>
      <c r="AP35" s="188"/>
      <c r="AQ35" s="188"/>
      <c r="AR35" s="188"/>
      <c r="AS35" s="188"/>
      <c r="AT35" s="188"/>
      <c r="AU35" s="188"/>
      <c r="AV35" s="188"/>
      <c r="AW35" s="188"/>
      <c r="AX35" s="188"/>
      <c r="AY35" s="188"/>
      <c r="AZ35" s="188"/>
      <c r="BA35" s="188"/>
      <c r="BB35" s="188"/>
      <c r="BC35" s="188"/>
      <c r="BD35" s="188"/>
      <c r="BE35" s="188"/>
      <c r="BF35" s="188"/>
      <c r="BG35" s="188"/>
      <c r="BH35" s="188"/>
      <c r="BI35" s="188"/>
      <c r="BJ35" s="188"/>
      <c r="BK35" s="188"/>
      <c r="BL35" s="188"/>
      <c r="BM35" s="188"/>
      <c r="BN35" s="188"/>
      <c r="BO35" s="188"/>
      <c r="BP35" s="188"/>
    </row>
    <row r="36" spans="1:68" x14ac:dyDescent="0.15">
      <c r="A36" s="188"/>
      <c r="B36" s="188"/>
      <c r="C36" s="188"/>
      <c r="D36" s="188"/>
      <c r="E36" s="188"/>
      <c r="F36" s="188"/>
      <c r="G36" s="188"/>
      <c r="H36" s="188"/>
      <c r="I36" s="188"/>
      <c r="J36" s="188"/>
      <c r="K36" s="188"/>
      <c r="L36" s="188"/>
      <c r="M36" s="188"/>
      <c r="N36" s="188"/>
      <c r="O36" s="188"/>
      <c r="P36" s="188"/>
      <c r="Q36" s="188"/>
      <c r="R36" s="188"/>
      <c r="S36" s="188"/>
      <c r="T36" s="188"/>
      <c r="U36" s="188"/>
      <c r="V36" s="188"/>
      <c r="W36" s="188"/>
      <c r="X36" s="188"/>
      <c r="Y36" s="188"/>
      <c r="Z36" s="188"/>
      <c r="AA36" s="188"/>
      <c r="AB36" s="188"/>
      <c r="AC36" s="188"/>
      <c r="AD36" s="188"/>
      <c r="AE36" s="188"/>
      <c r="AF36" s="188"/>
      <c r="AG36" s="188"/>
      <c r="AH36" s="188"/>
      <c r="AI36" s="188"/>
      <c r="AJ36" s="188"/>
      <c r="AK36" s="188"/>
      <c r="AL36" s="188"/>
      <c r="AM36" s="188"/>
      <c r="AN36" s="188"/>
      <c r="AO36" s="188"/>
      <c r="AP36" s="188"/>
      <c r="AQ36" s="188"/>
      <c r="AR36" s="188"/>
      <c r="AS36" s="188"/>
      <c r="AT36" s="188"/>
      <c r="AU36" s="188"/>
      <c r="AV36" s="188"/>
      <c r="AW36" s="188"/>
      <c r="AX36" s="188"/>
      <c r="AY36" s="188"/>
      <c r="AZ36" s="188"/>
      <c r="BA36" s="188"/>
      <c r="BB36" s="188"/>
      <c r="BC36" s="188"/>
      <c r="BD36" s="188"/>
      <c r="BE36" s="188"/>
      <c r="BF36" s="188"/>
      <c r="BG36" s="188"/>
      <c r="BH36" s="188"/>
      <c r="BI36" s="188"/>
      <c r="BJ36" s="188"/>
      <c r="BK36" s="188"/>
      <c r="BL36" s="188"/>
      <c r="BM36" s="188"/>
      <c r="BN36" s="188"/>
      <c r="BO36" s="188"/>
      <c r="BP36" s="188"/>
    </row>
    <row r="37" spans="1:68" x14ac:dyDescent="0.15">
      <c r="A37" s="188"/>
      <c r="B37" s="188"/>
      <c r="C37" s="188"/>
      <c r="D37" s="188"/>
      <c r="E37" s="188"/>
      <c r="F37" s="188"/>
      <c r="G37" s="188"/>
      <c r="H37" s="188"/>
      <c r="I37" s="188"/>
      <c r="J37" s="188"/>
      <c r="K37" s="188"/>
      <c r="L37" s="188"/>
      <c r="M37" s="188"/>
      <c r="N37" s="188"/>
      <c r="O37" s="188"/>
      <c r="P37" s="188"/>
      <c r="Q37" s="188"/>
      <c r="R37" s="188"/>
      <c r="S37" s="188"/>
      <c r="T37" s="188"/>
      <c r="U37" s="188"/>
      <c r="V37" s="188"/>
      <c r="W37" s="188"/>
      <c r="X37" s="188"/>
      <c r="Y37" s="188"/>
      <c r="Z37" s="188"/>
      <c r="AA37" s="188"/>
      <c r="AB37" s="188"/>
      <c r="AC37" s="188"/>
      <c r="AD37" s="188"/>
      <c r="AE37" s="188"/>
      <c r="AF37" s="188"/>
      <c r="AG37" s="188"/>
      <c r="AH37" s="188"/>
      <c r="AI37" s="188"/>
      <c r="AJ37" s="188"/>
      <c r="AK37" s="188"/>
      <c r="AL37" s="188"/>
      <c r="AM37" s="188"/>
      <c r="AN37" s="188"/>
      <c r="AO37" s="188"/>
      <c r="AP37" s="188"/>
      <c r="AQ37" s="188"/>
      <c r="AR37" s="188"/>
      <c r="AS37" s="188"/>
      <c r="AT37" s="188"/>
      <c r="AU37" s="188"/>
      <c r="AV37" s="188"/>
      <c r="AW37" s="188"/>
      <c r="AX37" s="188"/>
      <c r="AY37" s="188"/>
      <c r="AZ37" s="188"/>
      <c r="BA37" s="188"/>
      <c r="BB37" s="188"/>
      <c r="BC37" s="188"/>
      <c r="BD37" s="188"/>
      <c r="BE37" s="188"/>
      <c r="BF37" s="188"/>
      <c r="BG37" s="188"/>
      <c r="BH37" s="188"/>
      <c r="BI37" s="188"/>
      <c r="BJ37" s="188"/>
      <c r="BK37" s="188"/>
      <c r="BL37" s="188"/>
      <c r="BM37" s="188"/>
      <c r="BN37" s="188"/>
      <c r="BO37" s="188"/>
      <c r="BP37" s="188"/>
    </row>
    <row r="38" spans="1:68" x14ac:dyDescent="0.15">
      <c r="A38" s="188"/>
      <c r="B38" s="188"/>
      <c r="C38" s="188"/>
      <c r="D38" s="188"/>
      <c r="E38" s="188"/>
      <c r="F38" s="188"/>
      <c r="G38" s="188"/>
      <c r="H38" s="188"/>
      <c r="I38" s="188"/>
      <c r="J38" s="188"/>
      <c r="K38" s="188"/>
      <c r="L38" s="188"/>
      <c r="M38" s="188"/>
      <c r="N38" s="188"/>
      <c r="O38" s="188"/>
      <c r="P38" s="188"/>
      <c r="Q38" s="188"/>
      <c r="R38" s="188"/>
      <c r="S38" s="188"/>
      <c r="T38" s="188"/>
      <c r="U38" s="188"/>
      <c r="V38" s="188"/>
      <c r="W38" s="188"/>
      <c r="X38" s="188"/>
      <c r="Y38" s="188"/>
      <c r="Z38" s="188"/>
      <c r="AA38" s="188"/>
      <c r="AB38" s="188"/>
      <c r="AC38" s="188"/>
      <c r="AD38" s="188"/>
      <c r="AE38" s="188"/>
      <c r="AF38" s="188"/>
      <c r="AG38" s="188"/>
      <c r="AH38" s="188"/>
      <c r="AI38" s="188"/>
      <c r="AJ38" s="188"/>
      <c r="AK38" s="188"/>
      <c r="AL38" s="188"/>
      <c r="AM38" s="188"/>
      <c r="AN38" s="188"/>
      <c r="AO38" s="188"/>
      <c r="AP38" s="188"/>
      <c r="AQ38" s="188"/>
      <c r="AR38" s="188"/>
      <c r="AS38" s="188"/>
      <c r="AT38" s="188"/>
      <c r="AU38" s="188"/>
      <c r="AV38" s="188"/>
      <c r="AW38" s="188"/>
      <c r="AX38" s="188"/>
      <c r="AY38" s="188"/>
      <c r="AZ38" s="188"/>
      <c r="BA38" s="188"/>
      <c r="BB38" s="188"/>
      <c r="BC38" s="188"/>
      <c r="BD38" s="188"/>
      <c r="BE38" s="188"/>
      <c r="BF38" s="188"/>
      <c r="BG38" s="188"/>
      <c r="BH38" s="188"/>
      <c r="BI38" s="188"/>
      <c r="BJ38" s="188"/>
      <c r="BK38" s="188"/>
      <c r="BL38" s="188"/>
      <c r="BM38" s="188"/>
      <c r="BN38" s="188"/>
      <c r="BO38" s="188"/>
      <c r="BP38" s="188"/>
    </row>
    <row r="39" spans="1:68" x14ac:dyDescent="0.15">
      <c r="A39" s="188"/>
      <c r="B39" s="188"/>
      <c r="C39" s="188"/>
      <c r="D39" s="188"/>
      <c r="E39" s="188"/>
      <c r="F39" s="188"/>
      <c r="G39" s="188"/>
      <c r="H39" s="188"/>
      <c r="I39" s="188"/>
      <c r="J39" s="188"/>
      <c r="K39" s="188"/>
      <c r="L39" s="188"/>
      <c r="M39" s="188"/>
      <c r="N39" s="188"/>
      <c r="O39" s="188"/>
      <c r="P39" s="188"/>
      <c r="Q39" s="188"/>
      <c r="R39" s="188"/>
      <c r="S39" s="188"/>
      <c r="T39" s="188"/>
      <c r="U39" s="188"/>
      <c r="V39" s="188"/>
      <c r="W39" s="188"/>
      <c r="X39" s="188"/>
      <c r="Y39" s="188"/>
      <c r="Z39" s="188"/>
      <c r="AA39" s="188"/>
      <c r="AB39" s="188"/>
      <c r="AC39" s="188"/>
      <c r="AD39" s="188"/>
      <c r="AE39" s="188"/>
      <c r="AF39" s="188"/>
      <c r="AG39" s="188"/>
      <c r="AH39" s="188"/>
      <c r="AI39" s="188"/>
      <c r="AJ39" s="188"/>
      <c r="AK39" s="188"/>
      <c r="AL39" s="188"/>
      <c r="AM39" s="188"/>
      <c r="AN39" s="188"/>
      <c r="AO39" s="188"/>
      <c r="AP39" s="188"/>
      <c r="AQ39" s="188"/>
      <c r="AR39" s="188"/>
      <c r="AS39" s="188"/>
      <c r="AT39" s="188"/>
      <c r="AU39" s="188"/>
      <c r="AV39" s="188"/>
      <c r="AW39" s="188"/>
      <c r="AX39" s="188"/>
      <c r="AY39" s="188"/>
      <c r="AZ39" s="188"/>
      <c r="BA39" s="188"/>
      <c r="BB39" s="188"/>
      <c r="BC39" s="188"/>
      <c r="BD39" s="188"/>
      <c r="BE39" s="188"/>
      <c r="BF39" s="188"/>
      <c r="BG39" s="188"/>
      <c r="BH39" s="188"/>
      <c r="BI39" s="188"/>
      <c r="BJ39" s="188"/>
      <c r="BK39" s="188"/>
      <c r="BL39" s="188"/>
      <c r="BM39" s="188"/>
      <c r="BN39" s="188"/>
      <c r="BO39" s="188"/>
      <c r="BP39" s="188"/>
    </row>
    <row r="40" spans="1:68" x14ac:dyDescent="0.15">
      <c r="A40" s="188"/>
      <c r="B40" s="188"/>
      <c r="C40" s="188"/>
      <c r="D40" s="188"/>
      <c r="E40" s="188"/>
      <c r="F40" s="188"/>
      <c r="G40" s="188"/>
      <c r="H40" s="188"/>
      <c r="I40" s="188"/>
      <c r="J40" s="188"/>
      <c r="K40" s="188"/>
      <c r="L40" s="188"/>
      <c r="M40" s="188"/>
      <c r="N40" s="188"/>
      <c r="O40" s="188"/>
      <c r="P40" s="188"/>
      <c r="Q40" s="188"/>
      <c r="R40" s="188"/>
      <c r="S40" s="188"/>
      <c r="T40" s="188"/>
      <c r="U40" s="188"/>
      <c r="V40" s="188"/>
      <c r="W40" s="188"/>
      <c r="X40" s="188"/>
      <c r="Y40" s="188"/>
      <c r="Z40" s="188"/>
      <c r="AA40" s="188"/>
      <c r="AB40" s="188"/>
      <c r="AC40" s="188"/>
      <c r="AD40" s="188"/>
      <c r="AE40" s="188"/>
      <c r="AF40" s="188"/>
      <c r="AG40" s="188"/>
      <c r="AH40" s="188"/>
      <c r="AI40" s="188"/>
      <c r="AJ40" s="188"/>
      <c r="AK40" s="188"/>
      <c r="AL40" s="188"/>
      <c r="AM40" s="188"/>
      <c r="AN40" s="188"/>
      <c r="AO40" s="188"/>
      <c r="AP40" s="188"/>
      <c r="AQ40" s="188"/>
      <c r="AR40" s="188"/>
      <c r="AS40" s="188"/>
      <c r="AT40" s="188"/>
      <c r="AU40" s="188"/>
      <c r="AV40" s="188"/>
      <c r="AW40" s="188"/>
      <c r="AX40" s="188"/>
      <c r="AY40" s="188"/>
      <c r="AZ40" s="188"/>
      <c r="BA40" s="188"/>
      <c r="BB40" s="188"/>
      <c r="BC40" s="188"/>
      <c r="BD40" s="188"/>
      <c r="BE40" s="188"/>
      <c r="BF40" s="188"/>
      <c r="BG40" s="188"/>
      <c r="BH40" s="188"/>
      <c r="BI40" s="188"/>
      <c r="BJ40" s="188"/>
      <c r="BK40" s="188"/>
      <c r="BL40" s="188"/>
      <c r="BM40" s="188"/>
      <c r="BN40" s="188"/>
      <c r="BO40" s="188"/>
      <c r="BP40" s="188"/>
    </row>
    <row r="41" spans="1:68" x14ac:dyDescent="0.15">
      <c r="A41" s="188"/>
      <c r="B41" s="188"/>
      <c r="C41" s="188"/>
      <c r="D41" s="188"/>
      <c r="E41" s="188"/>
      <c r="F41" s="188"/>
      <c r="G41" s="188"/>
      <c r="H41" s="188"/>
      <c r="I41" s="188"/>
      <c r="J41" s="188"/>
      <c r="K41" s="188"/>
      <c r="L41" s="188"/>
      <c r="M41" s="188"/>
      <c r="N41" s="188"/>
      <c r="O41" s="188"/>
      <c r="P41" s="188"/>
      <c r="Q41" s="188"/>
      <c r="R41" s="188"/>
      <c r="S41" s="188"/>
      <c r="T41" s="188"/>
      <c r="U41" s="188"/>
      <c r="V41" s="188"/>
      <c r="W41" s="188"/>
      <c r="X41" s="188"/>
      <c r="Y41" s="188"/>
      <c r="Z41" s="188"/>
      <c r="AA41" s="188"/>
      <c r="AB41" s="188"/>
      <c r="AC41" s="188"/>
      <c r="AD41" s="188"/>
      <c r="AE41" s="188"/>
      <c r="AF41" s="188"/>
      <c r="AG41" s="188"/>
      <c r="AH41" s="188"/>
      <c r="AI41" s="188"/>
      <c r="AJ41" s="188"/>
      <c r="AK41" s="188"/>
      <c r="AL41" s="188"/>
      <c r="AM41" s="188"/>
      <c r="AN41" s="188"/>
      <c r="AO41" s="188"/>
      <c r="AP41" s="188"/>
      <c r="AQ41" s="188"/>
      <c r="AR41" s="188"/>
      <c r="AS41" s="188"/>
      <c r="AT41" s="188"/>
      <c r="AU41" s="188"/>
      <c r="AV41" s="188"/>
      <c r="AW41" s="188"/>
      <c r="AX41" s="188"/>
      <c r="AY41" s="188"/>
      <c r="AZ41" s="188"/>
      <c r="BA41" s="188"/>
      <c r="BB41" s="188"/>
      <c r="BC41" s="188"/>
      <c r="BD41" s="188"/>
      <c r="BE41" s="188"/>
      <c r="BF41" s="188"/>
      <c r="BG41" s="188"/>
      <c r="BH41" s="188"/>
      <c r="BI41" s="188"/>
      <c r="BJ41" s="188"/>
      <c r="BK41" s="188"/>
      <c r="BL41" s="188"/>
      <c r="BM41" s="188"/>
      <c r="BN41" s="188"/>
      <c r="BO41" s="188"/>
      <c r="BP41" s="188"/>
    </row>
    <row r="42" spans="1:68" x14ac:dyDescent="0.15">
      <c r="A42" s="188"/>
      <c r="B42" s="188"/>
      <c r="C42" s="188"/>
      <c r="D42" s="188"/>
      <c r="E42" s="188"/>
      <c r="F42" s="188"/>
      <c r="G42" s="188"/>
      <c r="H42" s="188"/>
      <c r="I42" s="188"/>
      <c r="J42" s="188"/>
      <c r="K42" s="188"/>
      <c r="L42" s="188"/>
      <c r="M42" s="188"/>
      <c r="N42" s="188"/>
      <c r="O42" s="188"/>
      <c r="P42" s="188"/>
      <c r="Q42" s="188"/>
      <c r="R42" s="188"/>
      <c r="S42" s="188"/>
      <c r="T42" s="188"/>
      <c r="U42" s="188"/>
      <c r="V42" s="188"/>
      <c r="W42" s="188"/>
      <c r="X42" s="188"/>
      <c r="Y42" s="188"/>
      <c r="Z42" s="188"/>
      <c r="AA42" s="188"/>
      <c r="AB42" s="188"/>
      <c r="AC42" s="188"/>
      <c r="AD42" s="188"/>
      <c r="AE42" s="188"/>
      <c r="AF42" s="188"/>
      <c r="AG42" s="188"/>
      <c r="AH42" s="188"/>
      <c r="AI42" s="188"/>
      <c r="AJ42" s="188"/>
      <c r="AK42" s="188"/>
      <c r="AL42" s="188"/>
      <c r="AM42" s="188"/>
      <c r="AN42" s="188"/>
      <c r="AO42" s="188"/>
      <c r="AP42" s="188"/>
      <c r="AQ42" s="188"/>
      <c r="AR42" s="188"/>
      <c r="AS42" s="188"/>
      <c r="AT42" s="188"/>
      <c r="AU42" s="188"/>
      <c r="AV42" s="188"/>
      <c r="AW42" s="188"/>
      <c r="AX42" s="188"/>
      <c r="AY42" s="188"/>
      <c r="AZ42" s="188"/>
      <c r="BA42" s="188"/>
      <c r="BB42" s="188"/>
      <c r="BC42" s="188"/>
      <c r="BD42" s="188"/>
      <c r="BE42" s="188"/>
      <c r="BF42" s="188"/>
      <c r="BG42" s="188"/>
      <c r="BH42" s="188"/>
      <c r="BI42" s="188"/>
      <c r="BJ42" s="188"/>
      <c r="BK42" s="188"/>
      <c r="BL42" s="188"/>
      <c r="BM42" s="188"/>
      <c r="BN42" s="188"/>
      <c r="BO42" s="188"/>
      <c r="BP42" s="188"/>
    </row>
    <row r="43" spans="1:68" x14ac:dyDescent="0.15">
      <c r="A43" s="188"/>
      <c r="B43" s="188"/>
      <c r="C43" s="188"/>
      <c r="D43" s="188"/>
      <c r="E43" s="188"/>
      <c r="F43" s="188"/>
      <c r="G43" s="188"/>
      <c r="H43" s="188"/>
      <c r="I43" s="188"/>
      <c r="J43" s="188"/>
      <c r="K43" s="188"/>
      <c r="L43" s="188"/>
      <c r="M43" s="188"/>
      <c r="N43" s="188"/>
      <c r="O43" s="188"/>
      <c r="P43" s="188"/>
      <c r="Q43" s="188"/>
      <c r="R43" s="188"/>
      <c r="S43" s="188"/>
      <c r="T43" s="188"/>
      <c r="U43" s="188"/>
      <c r="V43" s="188"/>
      <c r="W43" s="188"/>
      <c r="X43" s="188"/>
      <c r="Y43" s="188"/>
      <c r="Z43" s="188"/>
      <c r="AA43" s="188"/>
      <c r="AB43" s="188"/>
      <c r="AC43" s="188"/>
      <c r="AD43" s="188"/>
      <c r="AE43" s="188"/>
      <c r="AF43" s="188"/>
      <c r="AG43" s="188"/>
      <c r="AH43" s="188"/>
      <c r="AI43" s="188"/>
      <c r="AJ43" s="188"/>
      <c r="AK43" s="188"/>
      <c r="AL43" s="188"/>
      <c r="AM43" s="188"/>
      <c r="AN43" s="188"/>
      <c r="AO43" s="188"/>
      <c r="AP43" s="188"/>
      <c r="AQ43" s="188"/>
      <c r="AR43" s="188"/>
      <c r="AS43" s="188"/>
      <c r="AT43" s="188"/>
      <c r="AU43" s="188"/>
      <c r="AV43" s="188"/>
      <c r="AW43" s="188"/>
      <c r="AX43" s="188"/>
      <c r="AY43" s="188"/>
      <c r="AZ43" s="188"/>
      <c r="BA43" s="188"/>
      <c r="BB43" s="188"/>
      <c r="BC43" s="188"/>
      <c r="BD43" s="188"/>
      <c r="BE43" s="188"/>
      <c r="BF43" s="188"/>
      <c r="BG43" s="188"/>
      <c r="BH43" s="188"/>
      <c r="BI43" s="188"/>
      <c r="BJ43" s="188"/>
      <c r="BK43" s="188"/>
      <c r="BL43" s="188"/>
      <c r="BM43" s="188"/>
      <c r="BN43" s="188"/>
      <c r="BO43" s="188"/>
      <c r="BP43" s="188"/>
    </row>
    <row r="44" spans="1:68" x14ac:dyDescent="0.15">
      <c r="A44" s="188"/>
      <c r="B44" s="188"/>
      <c r="C44" s="188"/>
      <c r="D44" s="188"/>
      <c r="E44" s="188"/>
      <c r="F44" s="188"/>
      <c r="G44" s="188"/>
      <c r="H44" s="188"/>
      <c r="I44" s="188"/>
      <c r="J44" s="188"/>
      <c r="K44" s="188"/>
      <c r="L44" s="188"/>
      <c r="M44" s="188"/>
      <c r="N44" s="188"/>
      <c r="O44" s="188"/>
      <c r="P44" s="188"/>
      <c r="Q44" s="188"/>
      <c r="R44" s="188"/>
      <c r="S44" s="188"/>
      <c r="T44" s="188"/>
      <c r="U44" s="188"/>
      <c r="V44" s="188"/>
      <c r="W44" s="188"/>
      <c r="X44" s="188"/>
      <c r="Y44" s="188"/>
      <c r="Z44" s="188"/>
      <c r="AA44" s="188"/>
      <c r="AB44" s="188"/>
      <c r="AC44" s="188"/>
      <c r="AD44" s="188"/>
      <c r="AE44" s="188"/>
      <c r="AF44" s="188"/>
      <c r="AG44" s="188"/>
      <c r="AH44" s="188"/>
      <c r="AI44" s="188"/>
      <c r="AJ44" s="188"/>
      <c r="AK44" s="188"/>
      <c r="AL44" s="188"/>
      <c r="AM44" s="188"/>
      <c r="AN44" s="188"/>
      <c r="AO44" s="188"/>
      <c r="AP44" s="188"/>
      <c r="AQ44" s="188"/>
      <c r="AR44" s="188"/>
      <c r="AS44" s="188"/>
      <c r="AT44" s="188"/>
      <c r="AU44" s="188"/>
      <c r="AV44" s="188"/>
      <c r="AW44" s="188"/>
      <c r="AX44" s="188"/>
      <c r="AY44" s="188"/>
      <c r="AZ44" s="188"/>
      <c r="BA44" s="188"/>
      <c r="BB44" s="188"/>
      <c r="BC44" s="188"/>
      <c r="BD44" s="188"/>
      <c r="BE44" s="188"/>
      <c r="BF44" s="188"/>
      <c r="BG44" s="188"/>
      <c r="BH44" s="188"/>
      <c r="BI44" s="188"/>
      <c r="BJ44" s="188"/>
      <c r="BK44" s="188"/>
      <c r="BL44" s="188"/>
      <c r="BM44" s="188"/>
      <c r="BN44" s="188"/>
      <c r="BO44" s="188"/>
      <c r="BP44" s="188"/>
    </row>
    <row r="45" spans="1:68" x14ac:dyDescent="0.15">
      <c r="A45" s="188"/>
      <c r="B45" s="188"/>
      <c r="C45" s="188"/>
      <c r="D45" s="188"/>
      <c r="E45" s="188"/>
      <c r="F45" s="188"/>
      <c r="G45" s="188"/>
      <c r="H45" s="188"/>
      <c r="I45" s="188"/>
      <c r="J45" s="188"/>
      <c r="K45" s="188"/>
      <c r="L45" s="188"/>
      <c r="M45" s="188"/>
      <c r="N45" s="188"/>
      <c r="O45" s="188"/>
      <c r="P45" s="188"/>
      <c r="Q45" s="188"/>
      <c r="R45" s="188"/>
      <c r="S45" s="188"/>
      <c r="T45" s="188"/>
      <c r="U45" s="188"/>
      <c r="V45" s="188"/>
      <c r="W45" s="188"/>
      <c r="X45" s="188"/>
      <c r="Y45" s="188"/>
      <c r="Z45" s="188"/>
      <c r="AA45" s="188"/>
      <c r="AB45" s="188"/>
      <c r="AC45" s="188"/>
      <c r="AD45" s="188"/>
      <c r="AE45" s="188"/>
      <c r="AF45" s="188"/>
      <c r="AG45" s="188"/>
      <c r="AH45" s="188"/>
      <c r="AI45" s="188"/>
      <c r="AJ45" s="188"/>
      <c r="AK45" s="188"/>
      <c r="AL45" s="188"/>
      <c r="AM45" s="188"/>
      <c r="AN45" s="188"/>
      <c r="AO45" s="188"/>
      <c r="AP45" s="188"/>
      <c r="AQ45" s="188"/>
      <c r="AR45" s="188"/>
      <c r="AS45" s="188"/>
      <c r="AT45" s="188"/>
      <c r="AU45" s="188"/>
      <c r="AV45" s="188"/>
      <c r="AW45" s="188"/>
      <c r="AX45" s="188"/>
      <c r="AY45" s="188"/>
      <c r="AZ45" s="188"/>
      <c r="BA45" s="188"/>
      <c r="BB45" s="188"/>
      <c r="BC45" s="188"/>
      <c r="BD45" s="188"/>
      <c r="BE45" s="188"/>
      <c r="BF45" s="188"/>
      <c r="BG45" s="188"/>
      <c r="BH45" s="188"/>
      <c r="BI45" s="188"/>
      <c r="BJ45" s="188"/>
      <c r="BK45" s="188"/>
      <c r="BL45" s="188"/>
      <c r="BM45" s="188"/>
      <c r="BN45" s="188"/>
      <c r="BO45" s="188"/>
      <c r="BP45" s="188"/>
    </row>
    <row r="46" spans="1:68" x14ac:dyDescent="0.15">
      <c r="A46" s="188"/>
      <c r="B46" s="188"/>
      <c r="C46" s="188"/>
      <c r="D46" s="188"/>
      <c r="E46" s="188"/>
      <c r="F46" s="188"/>
      <c r="G46" s="188"/>
      <c r="H46" s="188"/>
      <c r="I46" s="188"/>
      <c r="J46" s="188"/>
      <c r="K46" s="188"/>
      <c r="L46" s="188"/>
      <c r="M46" s="188"/>
      <c r="N46" s="188"/>
      <c r="O46" s="188"/>
      <c r="P46" s="188"/>
      <c r="Q46" s="188"/>
      <c r="R46" s="188"/>
      <c r="S46" s="188"/>
      <c r="T46" s="188"/>
      <c r="U46" s="188"/>
      <c r="V46" s="188"/>
      <c r="W46" s="188"/>
      <c r="X46" s="188"/>
      <c r="Y46" s="188"/>
      <c r="Z46" s="188"/>
      <c r="AA46" s="188"/>
      <c r="AB46" s="188"/>
      <c r="AC46" s="188"/>
      <c r="AD46" s="188"/>
      <c r="AE46" s="188"/>
      <c r="AF46" s="188"/>
      <c r="AG46" s="188"/>
      <c r="AH46" s="188"/>
      <c r="AI46" s="188"/>
      <c r="AJ46" s="188"/>
      <c r="AK46" s="188"/>
      <c r="AL46" s="188"/>
      <c r="AM46" s="188"/>
      <c r="AN46" s="188"/>
      <c r="AO46" s="188"/>
      <c r="AP46" s="188"/>
      <c r="AQ46" s="188"/>
      <c r="AR46" s="188"/>
      <c r="AS46" s="188"/>
      <c r="AT46" s="188"/>
      <c r="AU46" s="188"/>
      <c r="AV46" s="188"/>
      <c r="AW46" s="188"/>
      <c r="AX46" s="188"/>
      <c r="AY46" s="188"/>
      <c r="AZ46" s="188"/>
      <c r="BA46" s="188"/>
      <c r="BB46" s="188"/>
      <c r="BC46" s="188"/>
      <c r="BD46" s="188"/>
      <c r="BE46" s="188"/>
      <c r="BF46" s="188"/>
      <c r="BG46" s="188"/>
      <c r="BH46" s="188"/>
      <c r="BI46" s="188"/>
      <c r="BJ46" s="188"/>
      <c r="BK46" s="188"/>
      <c r="BL46" s="188"/>
      <c r="BM46" s="188"/>
      <c r="BN46" s="188"/>
      <c r="BO46" s="188"/>
      <c r="BP46" s="188"/>
    </row>
    <row r="47" spans="1:68" x14ac:dyDescent="0.15">
      <c r="A47" s="188"/>
      <c r="B47" s="188"/>
      <c r="C47" s="188"/>
      <c r="D47" s="188"/>
      <c r="E47" s="188"/>
      <c r="F47" s="188"/>
      <c r="G47" s="188"/>
      <c r="H47" s="188"/>
      <c r="I47" s="188"/>
      <c r="J47" s="188"/>
      <c r="K47" s="188"/>
      <c r="L47" s="188"/>
      <c r="M47" s="188"/>
      <c r="N47" s="188"/>
      <c r="O47" s="188"/>
      <c r="P47" s="188"/>
      <c r="Q47" s="188"/>
      <c r="R47" s="188"/>
      <c r="S47" s="188"/>
      <c r="T47" s="188"/>
      <c r="U47" s="188"/>
      <c r="V47" s="188"/>
      <c r="W47" s="188"/>
      <c r="X47" s="188"/>
      <c r="Y47" s="188"/>
      <c r="Z47" s="188"/>
      <c r="AA47" s="188"/>
      <c r="AB47" s="188"/>
      <c r="AC47" s="188"/>
      <c r="AD47" s="188"/>
      <c r="AE47" s="188"/>
      <c r="AF47" s="188"/>
      <c r="AG47" s="188"/>
      <c r="AH47" s="188"/>
      <c r="AI47" s="188"/>
      <c r="AJ47" s="188"/>
      <c r="AK47" s="188"/>
      <c r="AL47" s="188"/>
      <c r="AM47" s="188"/>
      <c r="AN47" s="188"/>
      <c r="AO47" s="188"/>
      <c r="AP47" s="188"/>
      <c r="AQ47" s="188"/>
      <c r="AR47" s="188"/>
      <c r="AS47" s="188"/>
      <c r="AT47" s="188"/>
      <c r="AU47" s="188"/>
      <c r="AV47" s="188"/>
      <c r="AW47" s="188"/>
      <c r="AX47" s="188"/>
      <c r="AY47" s="188"/>
      <c r="AZ47" s="188"/>
      <c r="BA47" s="188"/>
      <c r="BB47" s="188"/>
      <c r="BC47" s="188"/>
      <c r="BD47" s="188"/>
      <c r="BE47" s="188"/>
      <c r="BF47" s="188"/>
      <c r="BG47" s="188"/>
      <c r="BH47" s="188"/>
      <c r="BI47" s="188"/>
      <c r="BJ47" s="188"/>
      <c r="BK47" s="188"/>
      <c r="BL47" s="188"/>
      <c r="BM47" s="188"/>
      <c r="BN47" s="188"/>
      <c r="BO47" s="188"/>
      <c r="BP47" s="188"/>
    </row>
    <row r="48" spans="1:68" x14ac:dyDescent="0.15">
      <c r="A48" s="188"/>
      <c r="B48" s="188"/>
      <c r="C48" s="188"/>
      <c r="D48" s="188"/>
      <c r="E48" s="188"/>
      <c r="F48" s="188"/>
      <c r="G48" s="188"/>
      <c r="H48" s="188"/>
      <c r="I48" s="188"/>
      <c r="J48" s="188"/>
      <c r="K48" s="188"/>
      <c r="L48" s="188"/>
      <c r="M48" s="188"/>
      <c r="N48" s="188"/>
      <c r="O48" s="188"/>
      <c r="P48" s="188"/>
      <c r="Q48" s="188"/>
      <c r="R48" s="188"/>
      <c r="S48" s="188"/>
      <c r="T48" s="188"/>
      <c r="U48" s="188"/>
      <c r="V48" s="188"/>
      <c r="W48" s="188"/>
      <c r="X48" s="188"/>
      <c r="Y48" s="188"/>
      <c r="Z48" s="188"/>
      <c r="AA48" s="188"/>
      <c r="AB48" s="188"/>
      <c r="AC48" s="188"/>
      <c r="AD48" s="188"/>
      <c r="AE48" s="188"/>
      <c r="AF48" s="188"/>
      <c r="AG48" s="188"/>
      <c r="AH48" s="188"/>
      <c r="AI48" s="188"/>
      <c r="AJ48" s="188"/>
      <c r="AK48" s="188"/>
      <c r="AL48" s="188"/>
      <c r="AM48" s="188"/>
      <c r="AN48" s="188"/>
      <c r="AO48" s="188"/>
      <c r="AP48" s="188"/>
      <c r="AQ48" s="188"/>
      <c r="AR48" s="188"/>
      <c r="AS48" s="188"/>
      <c r="AT48" s="188"/>
      <c r="AU48" s="188"/>
      <c r="AV48" s="188"/>
      <c r="AW48" s="188"/>
      <c r="AX48" s="188"/>
      <c r="AY48" s="188"/>
      <c r="AZ48" s="188"/>
      <c r="BA48" s="188"/>
      <c r="BB48" s="188"/>
      <c r="BC48" s="188"/>
      <c r="BD48" s="188"/>
      <c r="BE48" s="188"/>
      <c r="BF48" s="188"/>
      <c r="BG48" s="188"/>
      <c r="BH48" s="188"/>
      <c r="BI48" s="188"/>
      <c r="BJ48" s="188"/>
      <c r="BK48" s="188"/>
      <c r="BL48" s="188"/>
      <c r="BM48" s="188"/>
      <c r="BN48" s="188"/>
      <c r="BO48" s="188"/>
      <c r="BP48" s="188"/>
    </row>
    <row r="49" spans="1:68" x14ac:dyDescent="0.15">
      <c r="A49" s="188"/>
      <c r="B49" s="188"/>
      <c r="C49" s="188"/>
      <c r="D49" s="188"/>
      <c r="E49" s="188"/>
      <c r="F49" s="188"/>
      <c r="G49" s="188"/>
      <c r="H49" s="188"/>
      <c r="I49" s="188"/>
      <c r="J49" s="188"/>
      <c r="K49" s="188"/>
      <c r="L49" s="188"/>
      <c r="M49" s="188"/>
      <c r="N49" s="188"/>
      <c r="O49" s="188"/>
      <c r="P49" s="188"/>
      <c r="Q49" s="188"/>
      <c r="R49" s="188"/>
      <c r="S49" s="188"/>
      <c r="T49" s="188"/>
      <c r="U49" s="188"/>
      <c r="V49" s="188"/>
      <c r="W49" s="188"/>
      <c r="X49" s="188"/>
      <c r="Y49" s="188"/>
      <c r="Z49" s="188"/>
      <c r="AA49" s="188"/>
      <c r="AB49" s="188"/>
      <c r="AC49" s="188"/>
      <c r="AD49" s="188"/>
      <c r="AE49" s="188"/>
      <c r="AF49" s="188"/>
      <c r="AG49" s="188"/>
      <c r="AH49" s="188"/>
      <c r="AI49" s="188"/>
      <c r="AJ49" s="188"/>
      <c r="AK49" s="188"/>
      <c r="AL49" s="188"/>
      <c r="AM49" s="188"/>
      <c r="AN49" s="188"/>
      <c r="AO49" s="188"/>
      <c r="AP49" s="188"/>
      <c r="AQ49" s="188"/>
      <c r="AR49" s="188"/>
      <c r="AS49" s="188"/>
      <c r="AT49" s="188"/>
      <c r="AU49" s="188"/>
      <c r="AV49" s="188"/>
      <c r="AW49" s="188"/>
      <c r="AX49" s="188"/>
      <c r="AY49" s="188"/>
      <c r="AZ49" s="188"/>
      <c r="BA49" s="188"/>
      <c r="BB49" s="188"/>
      <c r="BC49" s="188"/>
      <c r="BD49" s="188"/>
      <c r="BE49" s="188"/>
      <c r="BF49" s="188"/>
      <c r="BG49" s="188"/>
      <c r="BH49" s="188"/>
      <c r="BI49" s="188"/>
      <c r="BJ49" s="188"/>
      <c r="BK49" s="188"/>
      <c r="BL49" s="188"/>
      <c r="BM49" s="188"/>
      <c r="BN49" s="188"/>
      <c r="BO49" s="188"/>
      <c r="BP49" s="188"/>
    </row>
    <row r="50" spans="1:68" x14ac:dyDescent="0.15">
      <c r="A50" s="188"/>
      <c r="B50" s="188"/>
      <c r="C50" s="188"/>
      <c r="D50" s="188"/>
      <c r="E50" s="188"/>
      <c r="F50" s="188"/>
      <c r="G50" s="188"/>
      <c r="H50" s="188"/>
      <c r="I50" s="188"/>
      <c r="J50" s="188"/>
      <c r="K50" s="188"/>
      <c r="L50" s="188"/>
      <c r="M50" s="188"/>
      <c r="N50" s="188"/>
      <c r="O50" s="188"/>
      <c r="P50" s="188"/>
      <c r="Q50" s="188"/>
      <c r="R50" s="188"/>
      <c r="S50" s="188"/>
      <c r="T50" s="188"/>
      <c r="U50" s="188"/>
      <c r="V50" s="188"/>
      <c r="W50" s="188"/>
      <c r="X50" s="188"/>
      <c r="Y50" s="188"/>
      <c r="Z50" s="188"/>
      <c r="AA50" s="188"/>
      <c r="AB50" s="188"/>
      <c r="AC50" s="188"/>
      <c r="AD50" s="188"/>
      <c r="AE50" s="188"/>
      <c r="AF50" s="188"/>
      <c r="AG50" s="188"/>
      <c r="AH50" s="188"/>
      <c r="AI50" s="188"/>
      <c r="AJ50" s="188"/>
      <c r="AK50" s="188"/>
      <c r="AL50" s="188"/>
      <c r="AM50" s="188"/>
      <c r="AN50" s="188"/>
      <c r="AO50" s="188"/>
      <c r="AP50" s="188"/>
      <c r="AQ50" s="188"/>
      <c r="AR50" s="188"/>
      <c r="AS50" s="188"/>
      <c r="AT50" s="188"/>
      <c r="AU50" s="188"/>
      <c r="AV50" s="188"/>
      <c r="AW50" s="188"/>
      <c r="AX50" s="188"/>
      <c r="AY50" s="188"/>
      <c r="AZ50" s="188"/>
      <c r="BA50" s="188"/>
      <c r="BB50" s="188"/>
      <c r="BC50" s="188"/>
      <c r="BD50" s="188"/>
      <c r="BE50" s="188"/>
      <c r="BF50" s="188"/>
      <c r="BG50" s="188"/>
      <c r="BH50" s="188"/>
      <c r="BI50" s="188"/>
      <c r="BJ50" s="188"/>
      <c r="BK50" s="188"/>
      <c r="BL50" s="188"/>
      <c r="BM50" s="188"/>
      <c r="BN50" s="188"/>
      <c r="BO50" s="188"/>
      <c r="BP50" s="188"/>
    </row>
    <row r="51" spans="1:68" x14ac:dyDescent="0.15">
      <c r="A51" s="188"/>
      <c r="B51" s="188"/>
      <c r="C51" s="188"/>
      <c r="D51" s="188"/>
      <c r="E51" s="188"/>
      <c r="F51" s="188"/>
      <c r="G51" s="188"/>
      <c r="H51" s="188"/>
      <c r="I51" s="188"/>
      <c r="J51" s="188"/>
      <c r="K51" s="188"/>
      <c r="L51" s="188"/>
      <c r="M51" s="188"/>
      <c r="N51" s="188"/>
      <c r="O51" s="188"/>
      <c r="P51" s="188"/>
      <c r="Q51" s="188"/>
      <c r="R51" s="188"/>
      <c r="S51" s="188"/>
      <c r="T51" s="188"/>
      <c r="U51" s="188"/>
      <c r="V51" s="188"/>
      <c r="W51" s="188"/>
      <c r="X51" s="188"/>
      <c r="Y51" s="188"/>
      <c r="Z51" s="188"/>
      <c r="AA51" s="188"/>
      <c r="AB51" s="188"/>
      <c r="AC51" s="188"/>
      <c r="AD51" s="188"/>
      <c r="AE51" s="188"/>
      <c r="AF51" s="188"/>
      <c r="AG51" s="188"/>
      <c r="AH51" s="188"/>
      <c r="AI51" s="188"/>
      <c r="AJ51" s="188"/>
      <c r="AK51" s="188"/>
      <c r="AL51" s="188"/>
      <c r="AM51" s="188"/>
      <c r="AN51" s="188"/>
      <c r="AO51" s="188"/>
      <c r="AP51" s="188"/>
      <c r="AQ51" s="188"/>
      <c r="AR51" s="188"/>
      <c r="AS51" s="188"/>
      <c r="AT51" s="188"/>
      <c r="AU51" s="188"/>
      <c r="AV51" s="188"/>
      <c r="AW51" s="188"/>
      <c r="AX51" s="188"/>
      <c r="AY51" s="188"/>
      <c r="AZ51" s="188"/>
      <c r="BA51" s="188"/>
      <c r="BB51" s="188"/>
      <c r="BC51" s="188"/>
      <c r="BD51" s="188"/>
      <c r="BE51" s="188"/>
      <c r="BF51" s="188"/>
      <c r="BG51" s="188"/>
      <c r="BH51" s="188"/>
      <c r="BI51" s="188"/>
      <c r="BJ51" s="188"/>
      <c r="BK51" s="188"/>
      <c r="BL51" s="188"/>
      <c r="BM51" s="188"/>
      <c r="BN51" s="188"/>
      <c r="BO51" s="188"/>
      <c r="BP51" s="188"/>
    </row>
    <row r="52" spans="1:68" x14ac:dyDescent="0.15">
      <c r="A52" s="188"/>
      <c r="B52" s="188"/>
      <c r="C52" s="188"/>
      <c r="D52" s="188"/>
      <c r="E52" s="188"/>
      <c r="F52" s="188"/>
      <c r="G52" s="188"/>
      <c r="H52" s="188"/>
      <c r="I52" s="188"/>
      <c r="J52" s="188"/>
      <c r="K52" s="188"/>
      <c r="L52" s="188"/>
      <c r="M52" s="188"/>
      <c r="N52" s="188"/>
      <c r="O52" s="188"/>
      <c r="P52" s="188"/>
      <c r="Q52" s="188"/>
      <c r="R52" s="188"/>
      <c r="S52" s="188"/>
      <c r="T52" s="188"/>
      <c r="U52" s="188"/>
      <c r="V52" s="188"/>
      <c r="W52" s="188"/>
      <c r="X52" s="188"/>
      <c r="Y52" s="188"/>
      <c r="Z52" s="188"/>
      <c r="AA52" s="188"/>
      <c r="AB52" s="188"/>
      <c r="AC52" s="188"/>
      <c r="AD52" s="188"/>
      <c r="AE52" s="188"/>
      <c r="AF52" s="188"/>
      <c r="AG52" s="188"/>
      <c r="AH52" s="188"/>
      <c r="AI52" s="188"/>
      <c r="AJ52" s="188"/>
      <c r="AK52" s="188"/>
      <c r="AL52" s="188"/>
      <c r="AM52" s="188"/>
      <c r="AN52" s="188"/>
      <c r="AO52" s="188"/>
      <c r="AP52" s="188"/>
      <c r="AQ52" s="188"/>
      <c r="AR52" s="188"/>
      <c r="AS52" s="188"/>
      <c r="AT52" s="188"/>
      <c r="AU52" s="188"/>
      <c r="AV52" s="188"/>
      <c r="AW52" s="188"/>
      <c r="AX52" s="188"/>
      <c r="AY52" s="188"/>
      <c r="AZ52" s="188"/>
      <c r="BA52" s="188"/>
      <c r="BB52" s="188"/>
      <c r="BC52" s="188"/>
      <c r="BD52" s="188"/>
      <c r="BE52" s="188"/>
      <c r="BF52" s="188"/>
      <c r="BG52" s="188"/>
      <c r="BH52" s="188"/>
      <c r="BI52" s="188"/>
      <c r="BJ52" s="188"/>
      <c r="BK52" s="188"/>
      <c r="BL52" s="188"/>
      <c r="BM52" s="188"/>
      <c r="BN52" s="188"/>
      <c r="BO52" s="188"/>
      <c r="BP52" s="188"/>
    </row>
    <row r="53" spans="1:68" x14ac:dyDescent="0.15">
      <c r="A53" s="188"/>
      <c r="B53" s="188"/>
      <c r="C53" s="188"/>
      <c r="D53" s="188"/>
      <c r="E53" s="188"/>
      <c r="F53" s="188"/>
      <c r="G53" s="188"/>
      <c r="H53" s="188"/>
      <c r="I53" s="188"/>
      <c r="J53" s="188"/>
      <c r="K53" s="188"/>
      <c r="L53" s="188"/>
      <c r="M53" s="188"/>
      <c r="N53" s="188"/>
      <c r="O53" s="188"/>
      <c r="P53" s="188"/>
      <c r="Q53" s="188"/>
      <c r="R53" s="188"/>
      <c r="S53" s="188"/>
      <c r="T53" s="188"/>
      <c r="U53" s="188"/>
      <c r="V53" s="188"/>
      <c r="W53" s="188"/>
      <c r="X53" s="188"/>
      <c r="Y53" s="188"/>
      <c r="Z53" s="188"/>
      <c r="AA53" s="188"/>
      <c r="AB53" s="188"/>
      <c r="AC53" s="188"/>
      <c r="AD53" s="188"/>
      <c r="AE53" s="188"/>
      <c r="AF53" s="188"/>
      <c r="AG53" s="188"/>
      <c r="AH53" s="188"/>
      <c r="AI53" s="188"/>
      <c r="AJ53" s="188"/>
      <c r="AK53" s="188"/>
      <c r="AL53" s="188"/>
      <c r="AM53" s="188"/>
      <c r="AN53" s="188"/>
      <c r="AO53" s="188"/>
      <c r="AP53" s="188"/>
      <c r="AQ53" s="188"/>
      <c r="AR53" s="188"/>
      <c r="AS53" s="188"/>
      <c r="AT53" s="188"/>
      <c r="AU53" s="188"/>
      <c r="AV53" s="188"/>
      <c r="AW53" s="188"/>
      <c r="AX53" s="188"/>
      <c r="AY53" s="188"/>
      <c r="AZ53" s="188"/>
      <c r="BA53" s="188"/>
      <c r="BB53" s="188"/>
      <c r="BC53" s="188"/>
      <c r="BD53" s="188"/>
      <c r="BE53" s="188"/>
      <c r="BF53" s="188"/>
      <c r="BG53" s="188"/>
      <c r="BH53" s="188"/>
      <c r="BI53" s="188"/>
      <c r="BJ53" s="188"/>
      <c r="BK53" s="188"/>
      <c r="BL53" s="188"/>
      <c r="BM53" s="188"/>
      <c r="BN53" s="188"/>
      <c r="BO53" s="188"/>
      <c r="BP53" s="188"/>
    </row>
    <row r="54" spans="1:68" x14ac:dyDescent="0.15">
      <c r="A54" s="188"/>
      <c r="B54" s="188"/>
      <c r="C54" s="188"/>
      <c r="D54" s="188"/>
      <c r="E54" s="188"/>
      <c r="F54" s="188"/>
      <c r="G54" s="188"/>
      <c r="H54" s="188"/>
      <c r="I54" s="188"/>
      <c r="J54" s="188"/>
      <c r="K54" s="188"/>
      <c r="L54" s="188"/>
      <c r="M54" s="188"/>
      <c r="N54" s="188"/>
      <c r="O54" s="188"/>
      <c r="P54" s="188"/>
      <c r="Q54" s="188"/>
      <c r="R54" s="188"/>
      <c r="S54" s="188"/>
      <c r="T54" s="188"/>
      <c r="U54" s="188"/>
      <c r="V54" s="188"/>
      <c r="W54" s="188"/>
      <c r="X54" s="188"/>
      <c r="Y54" s="188"/>
      <c r="Z54" s="188"/>
      <c r="AA54" s="188"/>
      <c r="AB54" s="188"/>
      <c r="AC54" s="188"/>
      <c r="AD54" s="188"/>
      <c r="AE54" s="188"/>
      <c r="AF54" s="188"/>
      <c r="AG54" s="188"/>
      <c r="AH54" s="188"/>
      <c r="AI54" s="188"/>
      <c r="AJ54" s="188"/>
      <c r="AK54" s="188"/>
      <c r="AL54" s="188"/>
      <c r="AM54" s="188"/>
      <c r="AN54" s="188"/>
      <c r="AO54" s="188"/>
      <c r="AP54" s="188"/>
      <c r="AQ54" s="188"/>
      <c r="AR54" s="188"/>
      <c r="AS54" s="188"/>
      <c r="AT54" s="188"/>
      <c r="AU54" s="188"/>
      <c r="AV54" s="188"/>
      <c r="AW54" s="188"/>
      <c r="AX54" s="188"/>
      <c r="AY54" s="188"/>
      <c r="AZ54" s="188"/>
      <c r="BA54" s="188"/>
      <c r="BB54" s="188"/>
      <c r="BC54" s="188"/>
      <c r="BD54" s="188"/>
      <c r="BE54" s="188"/>
      <c r="BF54" s="188"/>
      <c r="BG54" s="188"/>
      <c r="BH54" s="188"/>
      <c r="BI54" s="188"/>
      <c r="BJ54" s="188"/>
      <c r="BK54" s="188"/>
      <c r="BL54" s="188"/>
      <c r="BM54" s="188"/>
      <c r="BN54" s="188"/>
      <c r="BO54" s="188"/>
      <c r="BP54" s="188"/>
    </row>
    <row r="55" spans="1:68" x14ac:dyDescent="0.15">
      <c r="A55" s="188"/>
      <c r="B55" s="188"/>
      <c r="C55" s="188"/>
      <c r="D55" s="188"/>
      <c r="E55" s="188"/>
      <c r="F55" s="188"/>
      <c r="G55" s="188"/>
      <c r="H55" s="188"/>
      <c r="I55" s="188"/>
      <c r="J55" s="188"/>
      <c r="K55" s="188"/>
      <c r="L55" s="188"/>
      <c r="M55" s="188"/>
      <c r="N55" s="188"/>
      <c r="O55" s="188"/>
      <c r="P55" s="188"/>
      <c r="Q55" s="188"/>
      <c r="R55" s="188"/>
      <c r="S55" s="188"/>
      <c r="T55" s="188"/>
      <c r="U55" s="188"/>
      <c r="V55" s="188"/>
      <c r="W55" s="188"/>
      <c r="X55" s="188"/>
      <c r="Y55" s="188"/>
      <c r="Z55" s="188"/>
      <c r="AA55" s="188"/>
      <c r="AB55" s="188"/>
      <c r="AC55" s="188"/>
      <c r="AD55" s="188"/>
      <c r="AE55" s="188"/>
      <c r="AF55" s="188"/>
      <c r="AG55" s="188"/>
      <c r="AH55" s="188"/>
      <c r="AI55" s="188"/>
      <c r="AJ55" s="188"/>
      <c r="AK55" s="188"/>
      <c r="AL55" s="188"/>
      <c r="AM55" s="188"/>
      <c r="AN55" s="188"/>
      <c r="AO55" s="188"/>
      <c r="AP55" s="188"/>
      <c r="AQ55" s="188"/>
      <c r="AR55" s="188"/>
      <c r="AS55" s="188"/>
      <c r="AT55" s="188"/>
      <c r="AU55" s="188"/>
      <c r="AV55" s="188"/>
      <c r="AW55" s="188"/>
      <c r="AX55" s="188"/>
      <c r="AY55" s="188"/>
      <c r="AZ55" s="188"/>
      <c r="BA55" s="188"/>
      <c r="BB55" s="188"/>
      <c r="BC55" s="188"/>
      <c r="BD55" s="188"/>
      <c r="BE55" s="188"/>
      <c r="BF55" s="188"/>
      <c r="BG55" s="188"/>
      <c r="BH55" s="188"/>
      <c r="BI55" s="188"/>
      <c r="BJ55" s="188"/>
      <c r="BK55" s="188"/>
      <c r="BL55" s="188"/>
      <c r="BM55" s="188"/>
      <c r="BN55" s="188"/>
      <c r="BO55" s="188"/>
    </row>
  </sheetData>
  <mergeCells count="1">
    <mergeCell ref="B25:AL27"/>
  </mergeCells>
  <phoneticPr fontId="0" type="noConversion"/>
  <printOptions gridLinesSet="0"/>
  <pageMargins left="0" right="0" top="0" bottom="0" header="0.5" footer="0.5"/>
  <pageSetup paperSize="0" fitToHeight="0" orientation="landscape" horizontalDpi="0" verticalDpi="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665D5-ACCC-408D-93B0-8BF55FF1F5B6}">
  <sheetPr>
    <outlinePr summaryBelow="0" summaryRight="0"/>
    <pageSetUpPr autoPageBreaks="0" fitToPage="1"/>
  </sheetPr>
  <dimension ref="A1:BP67"/>
  <sheetViews>
    <sheetView showGridLines="0" zoomScale="75" zoomScaleNormal="75" zoomScaleSheetLayoutView="75" workbookViewId="0"/>
  </sheetViews>
  <sheetFormatPr defaultRowHeight="12.75" x14ac:dyDescent="0.15"/>
  <cols>
    <col min="1" max="1" width="1.75" customWidth="1"/>
    <col min="2" max="2" width="9.70703125" customWidth="1"/>
    <col min="3" max="3" width="47.73828125" customWidth="1"/>
    <col min="4" max="4" width="25.75390625" customWidth="1"/>
    <col min="5" max="7" width="9.70703125" customWidth="1"/>
    <col min="8" max="9" width="7.68359375" customWidth="1"/>
    <col min="10" max="37" width="3.234375" customWidth="1"/>
    <col min="38" max="38" width="1.75" customWidth="1"/>
  </cols>
  <sheetData>
    <row r="1" spans="2:68" ht="30" customHeight="1" x14ac:dyDescent="0.25">
      <c r="B1" s="168" t="s">
        <v>121</v>
      </c>
      <c r="E1" s="105"/>
      <c r="F1" s="105"/>
      <c r="G1" s="105"/>
      <c r="H1" s="105"/>
      <c r="I1" s="105"/>
      <c r="J1" s="105"/>
      <c r="K1" s="105"/>
      <c r="L1" s="105"/>
      <c r="M1" s="105"/>
      <c r="N1" s="106"/>
      <c r="O1" s="107"/>
      <c r="P1" s="107"/>
      <c r="Q1" s="107"/>
      <c r="R1" s="107"/>
      <c r="S1" s="108"/>
      <c r="T1" s="108"/>
      <c r="U1" s="108"/>
      <c r="V1" s="108"/>
      <c r="W1" s="108"/>
      <c r="X1" s="108"/>
      <c r="Y1" s="108"/>
      <c r="Z1" s="108"/>
      <c r="AA1" s="108"/>
      <c r="AB1" s="108"/>
      <c r="AC1" s="108"/>
      <c r="AD1" s="108"/>
      <c r="AE1" s="108"/>
      <c r="AF1" s="108"/>
      <c r="AG1" s="108"/>
      <c r="AH1" s="107"/>
      <c r="AI1" s="107"/>
      <c r="AJ1" s="107"/>
      <c r="AK1" s="107"/>
      <c r="AL1" s="107"/>
      <c r="AM1" s="187"/>
      <c r="AN1" s="187"/>
      <c r="AO1" s="187"/>
      <c r="AP1" s="187"/>
      <c r="AQ1" s="187"/>
      <c r="AR1" s="187"/>
      <c r="AS1" s="187"/>
      <c r="AT1" s="187"/>
      <c r="AU1" s="187"/>
      <c r="AV1" s="187"/>
      <c r="AW1" s="188"/>
      <c r="AX1" s="188"/>
      <c r="AY1" s="188"/>
      <c r="AZ1" s="188"/>
      <c r="BA1" s="188"/>
      <c r="BB1" s="188"/>
      <c r="BC1" s="188"/>
      <c r="BD1" s="188"/>
      <c r="BE1" s="188"/>
      <c r="BF1" s="188"/>
      <c r="BG1" s="188"/>
      <c r="BH1" s="188"/>
      <c r="BI1" s="188"/>
      <c r="BJ1" s="188"/>
      <c r="BK1" s="188"/>
      <c r="BL1" s="188"/>
      <c r="BM1" s="188"/>
      <c r="BN1" s="188"/>
      <c r="BO1" s="188"/>
      <c r="BP1" s="188"/>
    </row>
    <row r="2" spans="2:68" ht="20.100000000000001" customHeight="1" x14ac:dyDescent="0.15">
      <c r="B2" t="s">
        <v>1</v>
      </c>
      <c r="E2" s="105"/>
      <c r="F2" s="105"/>
      <c r="G2" s="105"/>
      <c r="H2" s="105"/>
      <c r="I2" s="105"/>
      <c r="J2" s="105"/>
      <c r="K2" s="105"/>
      <c r="L2" s="105"/>
      <c r="M2" s="105"/>
      <c r="N2" s="106"/>
      <c r="O2" s="107"/>
      <c r="P2" s="107"/>
      <c r="Q2" s="107"/>
      <c r="R2" s="107"/>
      <c r="S2" s="108"/>
      <c r="T2" s="108"/>
      <c r="U2" s="108"/>
      <c r="V2" s="108"/>
      <c r="W2" s="108"/>
      <c r="X2" s="108"/>
      <c r="Y2" s="108"/>
      <c r="Z2" s="108"/>
      <c r="AA2" s="108"/>
      <c r="AB2" s="108"/>
      <c r="AC2" s="108"/>
      <c r="AD2" s="108"/>
      <c r="AE2" s="108"/>
      <c r="AF2" s="108"/>
      <c r="AG2" s="108"/>
      <c r="AM2" s="28"/>
      <c r="AN2" s="28"/>
      <c r="AO2" s="28"/>
      <c r="AP2" s="28"/>
      <c r="AQ2" s="28"/>
      <c r="AR2" s="28"/>
      <c r="AS2" s="28"/>
      <c r="AT2" s="28"/>
      <c r="AU2" s="28"/>
      <c r="AV2" s="28"/>
      <c r="AW2" s="188"/>
      <c r="AX2" s="188"/>
      <c r="AY2" s="188"/>
      <c r="AZ2" s="188"/>
      <c r="BA2" s="188"/>
      <c r="BB2" s="188"/>
      <c r="BC2" s="188"/>
      <c r="BD2" s="188"/>
      <c r="BE2" s="188"/>
      <c r="BF2" s="188"/>
      <c r="BG2" s="188"/>
      <c r="BH2" s="188"/>
      <c r="BI2" s="188"/>
      <c r="BJ2" s="188"/>
      <c r="BK2" s="188"/>
      <c r="BL2" s="188"/>
      <c r="BM2" s="188"/>
      <c r="BN2" s="188"/>
      <c r="BO2" s="188"/>
      <c r="BP2" s="188"/>
    </row>
    <row r="3" spans="2:68" ht="20.100000000000001" customHeight="1" x14ac:dyDescent="0.15">
      <c r="B3" t="s">
        <v>2</v>
      </c>
      <c r="E3" s="105"/>
      <c r="F3" s="105"/>
      <c r="G3" s="105"/>
      <c r="H3" s="105"/>
      <c r="I3" s="105"/>
      <c r="J3" s="105"/>
      <c r="K3" s="105"/>
      <c r="L3" s="105"/>
      <c r="M3" s="105"/>
      <c r="N3" s="106"/>
      <c r="O3" s="107"/>
      <c r="P3" s="107"/>
      <c r="Q3" s="107"/>
      <c r="R3" s="107"/>
      <c r="S3" s="108"/>
      <c r="T3" s="108"/>
      <c r="U3" s="108"/>
      <c r="V3" s="108"/>
      <c r="W3" s="108"/>
      <c r="X3" s="108"/>
      <c r="Y3" s="108"/>
      <c r="Z3" s="108"/>
      <c r="AA3" s="108"/>
      <c r="AB3" s="108"/>
      <c r="AC3" s="108"/>
      <c r="AD3" s="108"/>
      <c r="AE3" s="108"/>
      <c r="AF3" s="108"/>
      <c r="AG3" s="108"/>
      <c r="AM3" s="28"/>
      <c r="AN3" s="28"/>
      <c r="AO3" s="28"/>
      <c r="AP3" s="28"/>
      <c r="AQ3" s="28"/>
      <c r="AR3" s="28"/>
      <c r="AS3" s="28"/>
      <c r="AT3" s="28"/>
      <c r="AU3" s="28"/>
      <c r="AV3" s="28"/>
      <c r="AW3" s="188"/>
      <c r="AX3" s="188"/>
      <c r="AY3" s="188"/>
      <c r="AZ3" s="188"/>
      <c r="BA3" s="188"/>
      <c r="BB3" s="188"/>
      <c r="BC3" s="188"/>
      <c r="BD3" s="188"/>
      <c r="BE3" s="188"/>
      <c r="BF3" s="188"/>
      <c r="BG3" s="188"/>
      <c r="BH3" s="188"/>
      <c r="BI3" s="188"/>
      <c r="BJ3" s="188"/>
      <c r="BK3" s="188"/>
      <c r="BL3" s="188"/>
      <c r="BM3" s="188"/>
      <c r="BN3" s="188"/>
      <c r="BO3" s="188"/>
      <c r="BP3" s="188"/>
    </row>
    <row r="4" spans="2:68" ht="15" customHeight="1" x14ac:dyDescent="0.15">
      <c r="E4" s="107"/>
      <c r="F4" s="106"/>
      <c r="G4" s="107"/>
      <c r="H4" s="106"/>
      <c r="I4" s="107"/>
      <c r="J4" s="106"/>
      <c r="K4" s="107"/>
      <c r="L4" s="106"/>
      <c r="M4" s="107"/>
      <c r="N4" s="106"/>
      <c r="O4" s="109"/>
      <c r="P4" s="110"/>
      <c r="Q4" s="110"/>
      <c r="R4" s="107"/>
      <c r="S4" s="108"/>
      <c r="T4" s="108"/>
      <c r="U4" s="108"/>
      <c r="V4" s="108"/>
      <c r="W4" s="108"/>
      <c r="X4" s="108"/>
      <c r="Y4" s="108"/>
      <c r="Z4" s="108"/>
      <c r="AA4" s="108"/>
      <c r="AB4" s="108"/>
      <c r="AC4" s="108"/>
      <c r="AD4" s="108"/>
      <c r="AE4" s="108"/>
      <c r="AF4" s="108"/>
      <c r="AG4" s="108"/>
      <c r="AH4" s="107"/>
      <c r="AI4" s="107"/>
      <c r="AJ4" s="107"/>
      <c r="AK4" s="107"/>
      <c r="AL4" s="107"/>
      <c r="AM4" s="187"/>
      <c r="AN4" s="187"/>
      <c r="AO4" s="187"/>
      <c r="AP4" s="187"/>
      <c r="AQ4" s="187"/>
      <c r="AR4" s="187"/>
      <c r="AS4" s="187"/>
      <c r="AT4" s="187"/>
      <c r="AU4" s="187"/>
      <c r="AV4" s="187"/>
      <c r="AW4" s="188"/>
      <c r="AX4" s="188"/>
      <c r="AY4" s="188"/>
      <c r="AZ4" s="188"/>
      <c r="BA4" s="188"/>
      <c r="BB4" s="188"/>
      <c r="BC4" s="188"/>
      <c r="BD4" s="188"/>
      <c r="BE4" s="188"/>
      <c r="BF4" s="188"/>
      <c r="BG4" s="188"/>
      <c r="BH4" s="188"/>
      <c r="BI4" s="188"/>
      <c r="BJ4" s="188"/>
      <c r="BK4" s="188"/>
      <c r="BL4" s="188"/>
      <c r="BM4" s="188"/>
      <c r="BN4" s="188"/>
      <c r="BO4" s="188"/>
      <c r="BP4" s="188"/>
    </row>
    <row r="5" spans="2:68" ht="15" customHeight="1" x14ac:dyDescent="0.15">
      <c r="E5" s="111"/>
      <c r="F5" s="111"/>
      <c r="G5" s="111"/>
      <c r="H5" s="111"/>
      <c r="I5" s="111"/>
      <c r="J5" s="111"/>
      <c r="K5" s="111"/>
      <c r="L5" s="111"/>
      <c r="M5" s="111"/>
      <c r="N5" s="111"/>
      <c r="O5" s="112"/>
      <c r="P5" s="108"/>
      <c r="Q5" s="108"/>
      <c r="R5" s="108"/>
      <c r="S5" s="108"/>
      <c r="T5" s="108"/>
      <c r="U5" s="108"/>
      <c r="V5" s="108"/>
      <c r="W5" s="108"/>
      <c r="X5" s="108"/>
      <c r="Y5" s="108"/>
      <c r="Z5" s="108"/>
      <c r="AA5" s="108"/>
      <c r="AB5" s="108"/>
      <c r="AC5" s="108"/>
      <c r="AD5" s="108"/>
      <c r="AE5" s="108"/>
      <c r="AF5" s="108"/>
      <c r="AG5" s="108"/>
      <c r="AH5" s="108"/>
      <c r="AI5" s="108"/>
      <c r="AJ5" s="108"/>
      <c r="AK5" s="108"/>
      <c r="AL5" s="113"/>
      <c r="AM5" s="189"/>
      <c r="AN5" s="189"/>
      <c r="AO5" s="189"/>
      <c r="AP5" s="189"/>
      <c r="AQ5" s="189"/>
      <c r="AR5" s="189"/>
      <c r="AS5" s="189"/>
      <c r="AT5" s="189"/>
      <c r="AU5" s="189"/>
      <c r="AV5" s="189"/>
      <c r="AW5" s="188"/>
      <c r="AX5" s="188"/>
      <c r="AY5" s="188"/>
      <c r="AZ5" s="188"/>
      <c r="BA5" s="188"/>
      <c r="BB5" s="188"/>
      <c r="BC5" s="188"/>
      <c r="BD5" s="188"/>
      <c r="BE5" s="188"/>
      <c r="BF5" s="188"/>
      <c r="BG5" s="188"/>
      <c r="BH5" s="188"/>
      <c r="BI5" s="188"/>
      <c r="BJ5" s="188"/>
      <c r="BK5" s="188"/>
      <c r="BL5" s="188"/>
      <c r="BM5" s="188"/>
      <c r="BN5" s="188"/>
      <c r="BO5" s="188"/>
      <c r="BP5" s="188"/>
    </row>
    <row r="6" spans="2:68" ht="30" customHeight="1" x14ac:dyDescent="0.15">
      <c r="B6" s="114"/>
      <c r="C6" s="114"/>
      <c r="D6" s="114"/>
      <c r="E6" s="114"/>
      <c r="F6" s="114"/>
      <c r="G6" s="114"/>
      <c r="H6" s="114"/>
      <c r="I6" s="115"/>
      <c r="J6" s="116" t="s">
        <v>19</v>
      </c>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t="s">
        <v>22</v>
      </c>
      <c r="AK6" s="118"/>
      <c r="AL6" s="107"/>
      <c r="AM6" s="187"/>
      <c r="AN6" s="187"/>
      <c r="AO6" s="187"/>
      <c r="AP6" s="187"/>
      <c r="AQ6" s="187"/>
      <c r="AR6" s="187"/>
      <c r="AS6" s="187"/>
      <c r="AT6" s="187"/>
      <c r="AU6" s="187"/>
      <c r="AV6" s="187"/>
      <c r="AW6" s="188"/>
      <c r="AX6" s="188"/>
      <c r="AY6" s="188"/>
      <c r="AZ6" s="188"/>
      <c r="BA6" s="188"/>
      <c r="BB6" s="188"/>
      <c r="BC6" s="188"/>
      <c r="BD6" s="188"/>
      <c r="BE6" s="188"/>
      <c r="BF6" s="188"/>
      <c r="BG6" s="188"/>
      <c r="BH6" s="188"/>
      <c r="BI6" s="188"/>
      <c r="BJ6" s="188"/>
      <c r="BK6" s="188"/>
      <c r="BL6" s="188"/>
      <c r="BM6" s="188"/>
      <c r="BN6" s="188"/>
      <c r="BO6" s="188"/>
      <c r="BP6" s="188"/>
    </row>
    <row r="7" spans="2:68" ht="24.95" customHeight="1" x14ac:dyDescent="0.15">
      <c r="B7" s="119" t="s">
        <v>70</v>
      </c>
      <c r="C7" s="119" t="s">
        <v>71</v>
      </c>
      <c r="D7" s="119" t="s">
        <v>72</v>
      </c>
      <c r="E7" s="119" t="s">
        <v>73</v>
      </c>
      <c r="F7" s="119" t="s">
        <v>74</v>
      </c>
      <c r="G7" s="119" t="s">
        <v>75</v>
      </c>
      <c r="H7" s="120" t="s">
        <v>76</v>
      </c>
      <c r="I7" s="119" t="s">
        <v>77</v>
      </c>
      <c r="J7" s="121">
        <v>5</v>
      </c>
      <c r="K7" s="121">
        <v>6</v>
      </c>
      <c r="L7" s="121">
        <v>7</v>
      </c>
      <c r="M7" s="121">
        <v>8</v>
      </c>
      <c r="N7" s="121">
        <v>9</v>
      </c>
      <c r="O7" s="121">
        <v>10</v>
      </c>
      <c r="P7" s="121">
        <v>11</v>
      </c>
      <c r="Q7" s="121">
        <v>12</v>
      </c>
      <c r="R7" s="121">
        <v>13</v>
      </c>
      <c r="S7" s="121">
        <v>14</v>
      </c>
      <c r="T7" s="121">
        <v>15</v>
      </c>
      <c r="U7" s="121">
        <v>16</v>
      </c>
      <c r="V7" s="121">
        <v>17</v>
      </c>
      <c r="W7" s="121">
        <v>18</v>
      </c>
      <c r="X7" s="121">
        <v>19</v>
      </c>
      <c r="Y7" s="121">
        <v>20</v>
      </c>
      <c r="Z7" s="121">
        <v>21</v>
      </c>
      <c r="AA7" s="121">
        <v>22</v>
      </c>
      <c r="AB7" s="121">
        <v>23</v>
      </c>
      <c r="AC7" s="121">
        <v>24</v>
      </c>
      <c r="AD7" s="121">
        <v>25</v>
      </c>
      <c r="AE7" s="121">
        <v>26</v>
      </c>
      <c r="AF7" s="121">
        <v>27</v>
      </c>
      <c r="AG7" s="121">
        <v>28</v>
      </c>
      <c r="AH7" s="121">
        <v>29</v>
      </c>
      <c r="AI7" s="121">
        <v>30</v>
      </c>
      <c r="AJ7" s="121">
        <v>1</v>
      </c>
      <c r="AK7" s="121">
        <v>2</v>
      </c>
      <c r="AL7" s="107"/>
      <c r="AM7" s="187"/>
      <c r="AN7" s="187"/>
      <c r="AO7" s="187"/>
      <c r="AP7" s="187"/>
      <c r="AQ7" s="187"/>
      <c r="AR7" s="187"/>
      <c r="AS7" s="187"/>
      <c r="AT7" s="187"/>
      <c r="AU7" s="187"/>
      <c r="AV7" s="187"/>
      <c r="AW7" s="188"/>
      <c r="AX7" s="188"/>
      <c r="AY7" s="188"/>
      <c r="AZ7" s="188"/>
      <c r="BA7" s="188"/>
      <c r="BB7" s="188"/>
      <c r="BC7" s="188"/>
      <c r="BD7" s="188"/>
      <c r="BE7" s="188"/>
      <c r="BF7" s="188"/>
      <c r="BG7" s="188"/>
      <c r="BH7" s="188"/>
      <c r="BI7" s="188"/>
      <c r="BJ7" s="188"/>
      <c r="BK7" s="188"/>
      <c r="BL7" s="188"/>
      <c r="BM7" s="188"/>
      <c r="BN7" s="188"/>
      <c r="BO7" s="188"/>
      <c r="BP7" s="188"/>
    </row>
    <row r="8" spans="2:68" x14ac:dyDescent="0.15">
      <c r="B8" s="170">
        <v>57169</v>
      </c>
      <c r="C8" s="170" t="s">
        <v>122</v>
      </c>
      <c r="D8" s="170" t="s">
        <v>123</v>
      </c>
      <c r="E8" s="170" t="s">
        <v>124</v>
      </c>
      <c r="F8" s="170" t="s">
        <v>125</v>
      </c>
      <c r="G8" s="170" t="s">
        <v>126</v>
      </c>
      <c r="H8" s="170">
        <v>332</v>
      </c>
      <c r="I8" s="169"/>
      <c r="J8" s="170" t="s">
        <v>83</v>
      </c>
      <c r="K8" s="171" t="s">
        <v>83</v>
      </c>
      <c r="L8" s="171" t="s">
        <v>83</v>
      </c>
      <c r="M8" s="171" t="s">
        <v>83</v>
      </c>
      <c r="N8" s="171" t="s">
        <v>83</v>
      </c>
      <c r="O8" s="171" t="s">
        <v>83</v>
      </c>
      <c r="P8" s="171" t="s">
        <v>83</v>
      </c>
      <c r="Q8" s="171" t="s">
        <v>83</v>
      </c>
      <c r="R8" s="171" t="s">
        <v>83</v>
      </c>
      <c r="S8" s="171" t="s">
        <v>83</v>
      </c>
      <c r="T8" s="171" t="s">
        <v>83</v>
      </c>
      <c r="U8" s="171" t="s">
        <v>83</v>
      </c>
      <c r="V8" s="171" t="s">
        <v>83</v>
      </c>
      <c r="W8" s="171" t="s">
        <v>83</v>
      </c>
      <c r="X8" s="171" t="s">
        <v>83</v>
      </c>
      <c r="Y8" s="171" t="s">
        <v>83</v>
      </c>
      <c r="Z8" s="171" t="s">
        <v>83</v>
      </c>
      <c r="AA8" s="171" t="s">
        <v>83</v>
      </c>
      <c r="AB8" s="171" t="s">
        <v>83</v>
      </c>
      <c r="AC8" s="171" t="s">
        <v>83</v>
      </c>
      <c r="AD8" s="171" t="s">
        <v>83</v>
      </c>
      <c r="AE8" s="171" t="s">
        <v>83</v>
      </c>
      <c r="AF8" s="171" t="s">
        <v>83</v>
      </c>
      <c r="AG8" s="171" t="s">
        <v>83</v>
      </c>
      <c r="AH8" s="171" t="s">
        <v>83</v>
      </c>
      <c r="AI8" s="171" t="s">
        <v>83</v>
      </c>
      <c r="AJ8" s="171" t="s">
        <v>83</v>
      </c>
      <c r="AK8" s="171" t="s">
        <v>83</v>
      </c>
      <c r="AL8" s="141"/>
      <c r="AM8" s="188"/>
      <c r="AN8" s="188"/>
      <c r="AO8" s="188"/>
      <c r="AP8" s="188"/>
      <c r="AQ8" s="188"/>
      <c r="AR8" s="188"/>
      <c r="AS8" s="188"/>
      <c r="AT8" s="188"/>
      <c r="AU8" s="188"/>
      <c r="AV8" s="188"/>
      <c r="AW8" s="188"/>
      <c r="AX8" s="188"/>
      <c r="AY8" s="188"/>
      <c r="AZ8" s="188"/>
      <c r="BA8" s="188"/>
      <c r="BB8" s="188"/>
      <c r="BC8" s="188"/>
      <c r="BD8" s="188"/>
      <c r="BE8" s="188"/>
      <c r="BF8" s="188"/>
      <c r="BG8" s="188"/>
      <c r="BH8" s="188"/>
      <c r="BI8" s="188"/>
      <c r="BJ8" s="188"/>
      <c r="BK8" s="188"/>
      <c r="BL8" s="188"/>
      <c r="BM8" s="188"/>
      <c r="BN8" s="188"/>
      <c r="BO8" s="188"/>
      <c r="BP8" s="188"/>
    </row>
    <row r="9" spans="2:68" x14ac:dyDescent="0.15">
      <c r="B9" s="141">
        <v>41259</v>
      </c>
      <c r="C9" s="141" t="s">
        <v>127</v>
      </c>
      <c r="D9" s="141" t="s">
        <v>123</v>
      </c>
      <c r="E9" s="141" t="s">
        <v>128</v>
      </c>
      <c r="F9" s="141" t="s">
        <v>129</v>
      </c>
      <c r="G9" s="141" t="s">
        <v>129</v>
      </c>
      <c r="H9" s="141">
        <v>164</v>
      </c>
      <c r="I9" s="172"/>
      <c r="J9" s="141" t="s">
        <v>83</v>
      </c>
      <c r="K9" s="173" t="s">
        <v>83</v>
      </c>
      <c r="L9" s="173" t="s">
        <v>83</v>
      </c>
      <c r="M9" s="173" t="s">
        <v>83</v>
      </c>
      <c r="N9" s="173" t="s">
        <v>83</v>
      </c>
      <c r="O9" s="173" t="s">
        <v>83</v>
      </c>
      <c r="P9" s="173" t="s">
        <v>83</v>
      </c>
      <c r="Q9" s="173" t="s">
        <v>83</v>
      </c>
      <c r="R9" s="173" t="s">
        <v>83</v>
      </c>
      <c r="S9" s="173" t="s">
        <v>83</v>
      </c>
      <c r="T9" s="173" t="s">
        <v>83</v>
      </c>
      <c r="U9" s="173" t="s">
        <v>83</v>
      </c>
      <c r="V9" s="173" t="s">
        <v>83</v>
      </c>
      <c r="W9" s="173" t="s">
        <v>83</v>
      </c>
      <c r="X9" s="173" t="s">
        <v>83</v>
      </c>
      <c r="Y9" s="173" t="s">
        <v>83</v>
      </c>
      <c r="Z9" s="173" t="s">
        <v>83</v>
      </c>
      <c r="AA9" s="173" t="s">
        <v>83</v>
      </c>
      <c r="AB9" s="173" t="s">
        <v>83</v>
      </c>
      <c r="AC9" s="173" t="s">
        <v>83</v>
      </c>
      <c r="AD9" s="173" t="s">
        <v>83</v>
      </c>
      <c r="AE9" s="173" t="s">
        <v>83</v>
      </c>
      <c r="AF9" s="173" t="s">
        <v>83</v>
      </c>
      <c r="AG9" s="173" t="s">
        <v>83</v>
      </c>
      <c r="AH9" s="173" t="s">
        <v>83</v>
      </c>
      <c r="AI9" s="173" t="s">
        <v>83</v>
      </c>
      <c r="AJ9" s="173" t="s">
        <v>83</v>
      </c>
      <c r="AK9" s="173" t="s">
        <v>83</v>
      </c>
      <c r="AL9" s="141"/>
      <c r="AM9" s="188"/>
      <c r="AN9" s="188"/>
      <c r="AO9" s="188"/>
      <c r="AP9" s="188"/>
      <c r="AQ9" s="188"/>
      <c r="AR9" s="188"/>
      <c r="AS9" s="188"/>
      <c r="AT9" s="188"/>
      <c r="AU9" s="188"/>
      <c r="AV9" s="188"/>
      <c r="AW9" s="188"/>
      <c r="AX9" s="188"/>
      <c r="AY9" s="188"/>
      <c r="AZ9" s="188"/>
      <c r="BA9" s="188"/>
      <c r="BB9" s="188"/>
      <c r="BC9" s="188"/>
      <c r="BD9" s="188"/>
      <c r="BE9" s="188"/>
      <c r="BF9" s="188"/>
      <c r="BG9" s="188"/>
      <c r="BH9" s="188"/>
      <c r="BI9" s="188"/>
      <c r="BJ9" s="188"/>
      <c r="BK9" s="188"/>
      <c r="BL9" s="188"/>
      <c r="BM9" s="188"/>
      <c r="BN9" s="188"/>
      <c r="BO9" s="188"/>
      <c r="BP9" s="188"/>
    </row>
    <row r="10" spans="2:68" x14ac:dyDescent="0.15">
      <c r="B10" s="170">
        <v>11720</v>
      </c>
      <c r="C10" s="170" t="s">
        <v>130</v>
      </c>
      <c r="D10" s="170" t="s">
        <v>123</v>
      </c>
      <c r="E10" s="170" t="s">
        <v>128</v>
      </c>
      <c r="F10" s="170" t="s">
        <v>131</v>
      </c>
      <c r="G10" s="170" t="s">
        <v>132</v>
      </c>
      <c r="H10" s="170">
        <v>402</v>
      </c>
      <c r="I10" s="169"/>
      <c r="J10" s="170" t="s">
        <v>83</v>
      </c>
      <c r="K10" s="171" t="s">
        <v>83</v>
      </c>
      <c r="L10" s="171" t="s">
        <v>83</v>
      </c>
      <c r="M10" s="171" t="s">
        <v>83</v>
      </c>
      <c r="N10" s="171" t="s">
        <v>83</v>
      </c>
      <c r="O10" s="171" t="s">
        <v>83</v>
      </c>
      <c r="P10" s="171" t="s">
        <v>83</v>
      </c>
      <c r="Q10" s="171" t="s">
        <v>83</v>
      </c>
      <c r="R10" s="171" t="s">
        <v>83</v>
      </c>
      <c r="S10" s="171" t="s">
        <v>83</v>
      </c>
      <c r="T10" s="171" t="s">
        <v>83</v>
      </c>
      <c r="U10" s="171" t="s">
        <v>83</v>
      </c>
      <c r="V10" s="171" t="s">
        <v>83</v>
      </c>
      <c r="W10" s="171" t="s">
        <v>83</v>
      </c>
      <c r="X10" s="171" t="s">
        <v>83</v>
      </c>
      <c r="Y10" s="171" t="s">
        <v>83</v>
      </c>
      <c r="Z10" s="171" t="s">
        <v>83</v>
      </c>
      <c r="AA10" s="171" t="s">
        <v>83</v>
      </c>
      <c r="AB10" s="171" t="s">
        <v>83</v>
      </c>
      <c r="AC10" s="171" t="s">
        <v>83</v>
      </c>
      <c r="AD10" s="171" t="s">
        <v>83</v>
      </c>
      <c r="AE10" s="171" t="s">
        <v>83</v>
      </c>
      <c r="AF10" s="171" t="s">
        <v>83</v>
      </c>
      <c r="AG10" s="171" t="s">
        <v>83</v>
      </c>
      <c r="AH10" s="171" t="s">
        <v>83</v>
      </c>
      <c r="AI10" s="171" t="s">
        <v>83</v>
      </c>
      <c r="AJ10" s="171" t="s">
        <v>83</v>
      </c>
      <c r="AK10" s="171" t="s">
        <v>83</v>
      </c>
      <c r="AL10" s="141"/>
      <c r="AM10" s="188"/>
      <c r="AN10" s="188"/>
      <c r="AO10" s="188"/>
      <c r="AP10" s="188"/>
      <c r="AQ10" s="188"/>
      <c r="AR10" s="188"/>
      <c r="AS10" s="188"/>
      <c r="AT10" s="188"/>
      <c r="AU10" s="188"/>
      <c r="AV10" s="188"/>
      <c r="AW10" s="188"/>
      <c r="AX10" s="188"/>
      <c r="AY10" s="188"/>
      <c r="AZ10" s="188"/>
      <c r="BA10" s="188"/>
      <c r="BB10" s="188"/>
      <c r="BC10" s="188"/>
      <c r="BD10" s="188"/>
      <c r="BE10" s="188"/>
      <c r="BF10" s="188"/>
      <c r="BG10" s="188"/>
      <c r="BH10" s="188"/>
      <c r="BI10" s="188"/>
      <c r="BJ10" s="188"/>
      <c r="BK10" s="188"/>
      <c r="BL10" s="188"/>
      <c r="BM10" s="188"/>
      <c r="BN10" s="188"/>
      <c r="BO10" s="188"/>
      <c r="BP10" s="188"/>
    </row>
    <row r="11" spans="2:68" x14ac:dyDescent="0.15">
      <c r="B11" s="141">
        <v>1307</v>
      </c>
      <c r="C11" s="141" t="s">
        <v>133</v>
      </c>
      <c r="D11" s="141" t="s">
        <v>123</v>
      </c>
      <c r="E11" s="141" t="s">
        <v>128</v>
      </c>
      <c r="F11" s="141" t="s">
        <v>134</v>
      </c>
      <c r="G11" s="141" t="s">
        <v>135</v>
      </c>
      <c r="H11" s="141">
        <v>343</v>
      </c>
      <c r="I11" s="172"/>
      <c r="J11" s="141" t="s">
        <v>83</v>
      </c>
      <c r="K11" s="173" t="s">
        <v>83</v>
      </c>
      <c r="L11" s="173" t="s">
        <v>83</v>
      </c>
      <c r="M11" s="173" t="s">
        <v>83</v>
      </c>
      <c r="N11" s="173" t="s">
        <v>83</v>
      </c>
      <c r="O11" s="173" t="s">
        <v>83</v>
      </c>
      <c r="P11" s="173" t="s">
        <v>83</v>
      </c>
      <c r="Q11" s="173" t="s">
        <v>83</v>
      </c>
      <c r="R11" s="173" t="s">
        <v>83</v>
      </c>
      <c r="S11" s="173" t="s">
        <v>83</v>
      </c>
      <c r="T11" s="173" t="s">
        <v>83</v>
      </c>
      <c r="U11" s="173" t="s">
        <v>83</v>
      </c>
      <c r="V11" s="173" t="s">
        <v>83</v>
      </c>
      <c r="W11" s="173" t="s">
        <v>83</v>
      </c>
      <c r="X11" s="173" t="s">
        <v>83</v>
      </c>
      <c r="Y11" s="173" t="s">
        <v>83</v>
      </c>
      <c r="Z11" s="173" t="s">
        <v>83</v>
      </c>
      <c r="AA11" s="173" t="s">
        <v>83</v>
      </c>
      <c r="AB11" s="173" t="s">
        <v>83</v>
      </c>
      <c r="AC11" s="173" t="s">
        <v>83</v>
      </c>
      <c r="AD11" s="173" t="s">
        <v>83</v>
      </c>
      <c r="AE11" s="173" t="s">
        <v>83</v>
      </c>
      <c r="AF11" s="173" t="s">
        <v>83</v>
      </c>
      <c r="AG11" s="173" t="s">
        <v>83</v>
      </c>
      <c r="AH11" s="173" t="s">
        <v>83</v>
      </c>
      <c r="AI11" s="173" t="s">
        <v>83</v>
      </c>
      <c r="AJ11" s="173" t="s">
        <v>83</v>
      </c>
      <c r="AK11" s="173" t="s">
        <v>83</v>
      </c>
      <c r="AL11" s="141"/>
      <c r="AM11" s="188"/>
      <c r="AN11" s="188"/>
      <c r="AO11" s="188"/>
      <c r="AP11" s="188"/>
      <c r="AQ11" s="188"/>
      <c r="AR11" s="188"/>
      <c r="AS11" s="188"/>
      <c r="AT11" s="188"/>
      <c r="AU11" s="188"/>
      <c r="AV11" s="188"/>
      <c r="AW11" s="188"/>
      <c r="AX11" s="188"/>
      <c r="AY11" s="188"/>
      <c r="AZ11" s="188"/>
      <c r="BA11" s="188"/>
      <c r="BB11" s="188"/>
      <c r="BC11" s="188"/>
      <c r="BD11" s="188"/>
      <c r="BE11" s="188"/>
      <c r="BF11" s="188"/>
      <c r="BG11" s="188"/>
      <c r="BH11" s="188"/>
      <c r="BI11" s="188"/>
      <c r="BJ11" s="188"/>
      <c r="BK11" s="188"/>
      <c r="BL11" s="188"/>
      <c r="BM11" s="188"/>
      <c r="BN11" s="188"/>
      <c r="BO11" s="188"/>
      <c r="BP11" s="188"/>
    </row>
    <row r="12" spans="2:68" x14ac:dyDescent="0.15">
      <c r="B12" s="170">
        <v>23322</v>
      </c>
      <c r="C12" s="170" t="s">
        <v>136</v>
      </c>
      <c r="D12" s="170" t="s">
        <v>123</v>
      </c>
      <c r="E12" s="170" t="s">
        <v>128</v>
      </c>
      <c r="F12" s="170" t="s">
        <v>134</v>
      </c>
      <c r="G12" s="170" t="s">
        <v>137</v>
      </c>
      <c r="H12" s="170">
        <v>254</v>
      </c>
      <c r="I12" s="169"/>
      <c r="J12" s="170" t="s">
        <v>83</v>
      </c>
      <c r="K12" s="171" t="s">
        <v>83</v>
      </c>
      <c r="L12" s="171" t="s">
        <v>83</v>
      </c>
      <c r="M12" s="171" t="s">
        <v>83</v>
      </c>
      <c r="N12" s="171" t="s">
        <v>83</v>
      </c>
      <c r="O12" s="171" t="s">
        <v>83</v>
      </c>
      <c r="P12" s="171" t="s">
        <v>83</v>
      </c>
      <c r="Q12" s="171" t="s">
        <v>83</v>
      </c>
      <c r="R12" s="171" t="s">
        <v>83</v>
      </c>
      <c r="S12" s="171" t="s">
        <v>83</v>
      </c>
      <c r="T12" s="171" t="s">
        <v>83</v>
      </c>
      <c r="U12" s="171" t="s">
        <v>83</v>
      </c>
      <c r="V12" s="171" t="s">
        <v>83</v>
      </c>
      <c r="W12" s="171" t="s">
        <v>83</v>
      </c>
      <c r="X12" s="171" t="s">
        <v>83</v>
      </c>
      <c r="Y12" s="171" t="s">
        <v>83</v>
      </c>
      <c r="Z12" s="171" t="s">
        <v>83</v>
      </c>
      <c r="AA12" s="171" t="s">
        <v>83</v>
      </c>
      <c r="AB12" s="171" t="s">
        <v>83</v>
      </c>
      <c r="AC12" s="171" t="s">
        <v>83</v>
      </c>
      <c r="AD12" s="171" t="s">
        <v>83</v>
      </c>
      <c r="AE12" s="171" t="s">
        <v>83</v>
      </c>
      <c r="AF12" s="171" t="s">
        <v>83</v>
      </c>
      <c r="AG12" s="171" t="s">
        <v>83</v>
      </c>
      <c r="AH12" s="171" t="s">
        <v>83</v>
      </c>
      <c r="AI12" s="171" t="s">
        <v>83</v>
      </c>
      <c r="AJ12" s="171" t="s">
        <v>83</v>
      </c>
      <c r="AK12" s="171" t="s">
        <v>83</v>
      </c>
      <c r="AL12" s="141"/>
      <c r="AM12" s="188"/>
      <c r="AN12" s="188"/>
      <c r="AO12" s="188"/>
      <c r="AP12" s="188"/>
      <c r="AQ12" s="188"/>
      <c r="AR12" s="188"/>
      <c r="AS12" s="188"/>
      <c r="AT12" s="188"/>
      <c r="AU12" s="188"/>
      <c r="AV12" s="188"/>
      <c r="AW12" s="188"/>
      <c r="AX12" s="188"/>
      <c r="AY12" s="188"/>
      <c r="AZ12" s="188"/>
      <c r="BA12" s="188"/>
      <c r="BB12" s="188"/>
      <c r="BC12" s="188"/>
      <c r="BD12" s="188"/>
      <c r="BE12" s="188"/>
      <c r="BF12" s="188"/>
      <c r="BG12" s="188"/>
      <c r="BH12" s="188"/>
      <c r="BI12" s="188"/>
      <c r="BJ12" s="188"/>
      <c r="BK12" s="188"/>
      <c r="BL12" s="188"/>
      <c r="BM12" s="188"/>
      <c r="BN12" s="188"/>
      <c r="BO12" s="188"/>
      <c r="BP12" s="188"/>
    </row>
    <row r="13" spans="2:68" x14ac:dyDescent="0.15">
      <c r="B13" s="141">
        <v>58340</v>
      </c>
      <c r="C13" s="141" t="s">
        <v>138</v>
      </c>
      <c r="D13" s="141" t="s">
        <v>123</v>
      </c>
      <c r="E13" s="141" t="s">
        <v>128</v>
      </c>
      <c r="F13" s="141" t="s">
        <v>139</v>
      </c>
      <c r="G13" s="141" t="s">
        <v>139</v>
      </c>
      <c r="H13" s="141">
        <v>28</v>
      </c>
      <c r="I13" s="172"/>
      <c r="J13" s="141"/>
      <c r="K13" s="173"/>
      <c r="L13" s="173"/>
      <c r="M13" s="173"/>
      <c r="N13" s="173"/>
      <c r="O13" s="173"/>
      <c r="P13" s="173"/>
      <c r="Q13" s="173"/>
      <c r="R13" s="173"/>
      <c r="S13" s="173"/>
      <c r="T13" s="173"/>
      <c r="U13" s="173"/>
      <c r="V13" s="173"/>
      <c r="W13" s="173"/>
      <c r="X13" s="173"/>
      <c r="Y13" s="173"/>
      <c r="Z13" s="173"/>
      <c r="AA13" s="173"/>
      <c r="AB13" s="173"/>
      <c r="AC13" s="173"/>
      <c r="AD13" s="173"/>
      <c r="AE13" s="173"/>
      <c r="AF13" s="173"/>
      <c r="AG13" s="173"/>
      <c r="AH13" s="173"/>
      <c r="AI13" s="173"/>
      <c r="AJ13" s="173"/>
      <c r="AK13" s="173"/>
      <c r="AL13" s="141"/>
      <c r="AM13" s="188"/>
      <c r="AN13" s="188"/>
      <c r="AO13" s="188"/>
      <c r="AP13" s="188"/>
      <c r="AQ13" s="188"/>
      <c r="AR13" s="188"/>
      <c r="AS13" s="188"/>
      <c r="AT13" s="188"/>
      <c r="AU13" s="188"/>
      <c r="AV13" s="188"/>
      <c r="AW13" s="188"/>
      <c r="AX13" s="188"/>
      <c r="AY13" s="188"/>
      <c r="AZ13" s="188"/>
      <c r="BA13" s="188"/>
      <c r="BB13" s="188"/>
      <c r="BC13" s="188"/>
      <c r="BD13" s="188"/>
      <c r="BE13" s="188"/>
      <c r="BF13" s="188"/>
      <c r="BG13" s="188"/>
      <c r="BH13" s="188"/>
      <c r="BI13" s="188"/>
      <c r="BJ13" s="188"/>
      <c r="BK13" s="188"/>
      <c r="BL13" s="188"/>
      <c r="BM13" s="188"/>
      <c r="BN13" s="188"/>
      <c r="BO13" s="188"/>
      <c r="BP13" s="188"/>
    </row>
    <row r="14" spans="2:68" x14ac:dyDescent="0.15">
      <c r="B14" s="170">
        <v>24349</v>
      </c>
      <c r="C14" s="170" t="s">
        <v>140</v>
      </c>
      <c r="D14" s="170" t="s">
        <v>123</v>
      </c>
      <c r="E14" s="170" t="s">
        <v>128</v>
      </c>
      <c r="F14" s="170" t="s">
        <v>141</v>
      </c>
      <c r="G14" s="170" t="s">
        <v>142</v>
      </c>
      <c r="H14" s="170">
        <v>295</v>
      </c>
      <c r="I14" s="169"/>
      <c r="J14" s="170" t="s">
        <v>83</v>
      </c>
      <c r="K14" s="171" t="s">
        <v>83</v>
      </c>
      <c r="L14" s="171" t="s">
        <v>83</v>
      </c>
      <c r="M14" s="171" t="s">
        <v>83</v>
      </c>
      <c r="N14" s="171" t="s">
        <v>83</v>
      </c>
      <c r="O14" s="171" t="s">
        <v>83</v>
      </c>
      <c r="P14" s="171" t="s">
        <v>83</v>
      </c>
      <c r="Q14" s="171" t="s">
        <v>83</v>
      </c>
      <c r="R14" s="171" t="s">
        <v>83</v>
      </c>
      <c r="S14" s="171" t="s">
        <v>83</v>
      </c>
      <c r="T14" s="171" t="s">
        <v>83</v>
      </c>
      <c r="U14" s="171" t="s">
        <v>83</v>
      </c>
      <c r="V14" s="171" t="s">
        <v>83</v>
      </c>
      <c r="W14" s="171" t="s">
        <v>83</v>
      </c>
      <c r="X14" s="171" t="s">
        <v>83</v>
      </c>
      <c r="Y14" s="171" t="s">
        <v>83</v>
      </c>
      <c r="Z14" s="171" t="s">
        <v>83</v>
      </c>
      <c r="AA14" s="171" t="s">
        <v>83</v>
      </c>
      <c r="AB14" s="171" t="s">
        <v>83</v>
      </c>
      <c r="AC14" s="171" t="s">
        <v>83</v>
      </c>
      <c r="AD14" s="171" t="s">
        <v>83</v>
      </c>
      <c r="AE14" s="171" t="s">
        <v>83</v>
      </c>
      <c r="AF14" s="171" t="s">
        <v>83</v>
      </c>
      <c r="AG14" s="171" t="s">
        <v>83</v>
      </c>
      <c r="AH14" s="171" t="s">
        <v>83</v>
      </c>
      <c r="AI14" s="171" t="s">
        <v>83</v>
      </c>
      <c r="AJ14" s="171" t="s">
        <v>83</v>
      </c>
      <c r="AK14" s="171" t="s">
        <v>83</v>
      </c>
      <c r="AL14" s="141"/>
      <c r="AM14" s="188"/>
      <c r="AN14" s="188"/>
      <c r="AO14" s="188"/>
      <c r="AP14" s="188"/>
      <c r="AQ14" s="188"/>
      <c r="AR14" s="188"/>
      <c r="AS14" s="188"/>
      <c r="AT14" s="188"/>
      <c r="AU14" s="188"/>
      <c r="AV14" s="188"/>
      <c r="AW14" s="188"/>
      <c r="AX14" s="188"/>
      <c r="AY14" s="188"/>
      <c r="AZ14" s="188"/>
      <c r="BA14" s="188"/>
      <c r="BB14" s="188"/>
      <c r="BC14" s="188"/>
      <c r="BD14" s="188"/>
      <c r="BE14" s="188"/>
      <c r="BF14" s="188"/>
      <c r="BG14" s="188"/>
      <c r="BH14" s="188"/>
      <c r="BI14" s="188"/>
      <c r="BJ14" s="188"/>
      <c r="BK14" s="188"/>
      <c r="BL14" s="188"/>
      <c r="BM14" s="188"/>
      <c r="BN14" s="188"/>
      <c r="BO14" s="188"/>
      <c r="BP14" s="188"/>
    </row>
    <row r="15" spans="2:68" x14ac:dyDescent="0.15">
      <c r="B15" s="141">
        <v>10084</v>
      </c>
      <c r="C15" s="141" t="s">
        <v>143</v>
      </c>
      <c r="D15" s="141" t="s">
        <v>123</v>
      </c>
      <c r="E15" s="141" t="s">
        <v>128</v>
      </c>
      <c r="F15" s="141" t="s">
        <v>107</v>
      </c>
      <c r="G15" s="141" t="s">
        <v>144</v>
      </c>
      <c r="H15" s="141">
        <v>444</v>
      </c>
      <c r="I15" s="172"/>
      <c r="J15" s="141" t="s">
        <v>83</v>
      </c>
      <c r="K15" s="173" t="s">
        <v>83</v>
      </c>
      <c r="L15" s="173" t="s">
        <v>83</v>
      </c>
      <c r="M15" s="173" t="s">
        <v>83</v>
      </c>
      <c r="N15" s="173" t="s">
        <v>83</v>
      </c>
      <c r="O15" s="173" t="s">
        <v>83</v>
      </c>
      <c r="P15" s="173" t="s">
        <v>83</v>
      </c>
      <c r="Q15" s="173" t="s">
        <v>83</v>
      </c>
      <c r="R15" s="173" t="s">
        <v>83</v>
      </c>
      <c r="S15" s="173" t="s">
        <v>83</v>
      </c>
      <c r="T15" s="173" t="s">
        <v>83</v>
      </c>
      <c r="U15" s="173" t="s">
        <v>83</v>
      </c>
      <c r="V15" s="173" t="s">
        <v>83</v>
      </c>
      <c r="W15" s="173" t="s">
        <v>83</v>
      </c>
      <c r="X15" s="173" t="s">
        <v>83</v>
      </c>
      <c r="Y15" s="173" t="s">
        <v>83</v>
      </c>
      <c r="Z15" s="173" t="s">
        <v>83</v>
      </c>
      <c r="AA15" s="173" t="s">
        <v>83</v>
      </c>
      <c r="AB15" s="173" t="s">
        <v>83</v>
      </c>
      <c r="AC15" s="173" t="s">
        <v>83</v>
      </c>
      <c r="AD15" s="173" t="s">
        <v>83</v>
      </c>
      <c r="AE15" s="173" t="s">
        <v>83</v>
      </c>
      <c r="AF15" s="173" t="s">
        <v>83</v>
      </c>
      <c r="AG15" s="173" t="s">
        <v>83</v>
      </c>
      <c r="AH15" s="173" t="s">
        <v>83</v>
      </c>
      <c r="AI15" s="173" t="s">
        <v>83</v>
      </c>
      <c r="AJ15" s="173" t="s">
        <v>83</v>
      </c>
      <c r="AK15" s="173" t="s">
        <v>83</v>
      </c>
      <c r="AL15" s="141"/>
      <c r="AM15" s="188"/>
      <c r="AN15" s="188"/>
      <c r="AO15" s="188"/>
      <c r="AP15" s="188"/>
      <c r="AQ15" s="188"/>
      <c r="AR15" s="188"/>
      <c r="AS15" s="188"/>
      <c r="AT15" s="188"/>
      <c r="AU15" s="188"/>
      <c r="AV15" s="188"/>
      <c r="AW15" s="188"/>
      <c r="AX15" s="188"/>
      <c r="AY15" s="188"/>
      <c r="AZ15" s="188"/>
      <c r="BA15" s="188"/>
      <c r="BB15" s="188"/>
      <c r="BC15" s="188"/>
      <c r="BD15" s="188"/>
      <c r="BE15" s="188"/>
      <c r="BF15" s="188"/>
      <c r="BG15" s="188"/>
      <c r="BH15" s="188"/>
      <c r="BI15" s="188"/>
      <c r="BJ15" s="188"/>
      <c r="BK15" s="188"/>
      <c r="BL15" s="188"/>
      <c r="BM15" s="188"/>
      <c r="BN15" s="188"/>
      <c r="BO15" s="188"/>
      <c r="BP15" s="188"/>
    </row>
    <row r="16" spans="2:68" x14ac:dyDescent="0.15">
      <c r="B16" s="170">
        <v>6773</v>
      </c>
      <c r="C16" s="170" t="s">
        <v>145</v>
      </c>
      <c r="D16" s="170" t="s">
        <v>123</v>
      </c>
      <c r="E16" s="170" t="s">
        <v>128</v>
      </c>
      <c r="F16" s="170" t="s">
        <v>146</v>
      </c>
      <c r="G16" s="170" t="s">
        <v>146</v>
      </c>
      <c r="H16" s="170">
        <v>400</v>
      </c>
      <c r="I16" s="169"/>
      <c r="J16" s="170" t="s">
        <v>83</v>
      </c>
      <c r="K16" s="171" t="s">
        <v>83</v>
      </c>
      <c r="L16" s="171" t="s">
        <v>83</v>
      </c>
      <c r="M16" s="171" t="s">
        <v>83</v>
      </c>
      <c r="N16" s="171" t="s">
        <v>83</v>
      </c>
      <c r="O16" s="171" t="s">
        <v>83</v>
      </c>
      <c r="P16" s="171" t="s">
        <v>83</v>
      </c>
      <c r="Q16" s="171" t="s">
        <v>83</v>
      </c>
      <c r="R16" s="171" t="s">
        <v>83</v>
      </c>
      <c r="S16" s="171" t="s">
        <v>83</v>
      </c>
      <c r="T16" s="171" t="s">
        <v>83</v>
      </c>
      <c r="U16" s="171" t="s">
        <v>83</v>
      </c>
      <c r="V16" s="171" t="s">
        <v>83</v>
      </c>
      <c r="W16" s="171" t="s">
        <v>83</v>
      </c>
      <c r="X16" s="171" t="s">
        <v>83</v>
      </c>
      <c r="Y16" s="171" t="s">
        <v>83</v>
      </c>
      <c r="Z16" s="171" t="s">
        <v>83</v>
      </c>
      <c r="AA16" s="171" t="s">
        <v>83</v>
      </c>
      <c r="AB16" s="171" t="s">
        <v>83</v>
      </c>
      <c r="AC16" s="171" t="s">
        <v>83</v>
      </c>
      <c r="AD16" s="171" t="s">
        <v>83</v>
      </c>
      <c r="AE16" s="171" t="s">
        <v>83</v>
      </c>
      <c r="AF16" s="171" t="s">
        <v>83</v>
      </c>
      <c r="AG16" s="171" t="s">
        <v>83</v>
      </c>
      <c r="AH16" s="171" t="s">
        <v>83</v>
      </c>
      <c r="AI16" s="171" t="s">
        <v>83</v>
      </c>
      <c r="AJ16" s="171" t="s">
        <v>83</v>
      </c>
      <c r="AK16" s="171" t="s">
        <v>83</v>
      </c>
      <c r="AL16" s="141"/>
      <c r="AM16" s="188"/>
      <c r="AN16" s="188"/>
      <c r="AO16" s="188"/>
      <c r="AP16" s="188"/>
      <c r="AQ16" s="188"/>
      <c r="AR16" s="188"/>
      <c r="AS16" s="188"/>
      <c r="AT16" s="188"/>
      <c r="AU16" s="188"/>
      <c r="AV16" s="188"/>
      <c r="AW16" s="188"/>
      <c r="AX16" s="188"/>
      <c r="AY16" s="188"/>
      <c r="AZ16" s="188"/>
      <c r="BA16" s="188"/>
      <c r="BB16" s="188"/>
      <c r="BC16" s="188"/>
      <c r="BD16" s="188"/>
      <c r="BE16" s="188"/>
      <c r="BF16" s="188"/>
      <c r="BG16" s="188"/>
      <c r="BH16" s="188"/>
      <c r="BI16" s="188"/>
      <c r="BJ16" s="188"/>
      <c r="BK16" s="188"/>
      <c r="BL16" s="188"/>
      <c r="BM16" s="188"/>
      <c r="BN16" s="188"/>
      <c r="BO16" s="188"/>
      <c r="BP16" s="188"/>
    </row>
    <row r="17" spans="2:68" x14ac:dyDescent="0.15">
      <c r="B17" s="141">
        <v>81160</v>
      </c>
      <c r="C17" s="141" t="s">
        <v>147</v>
      </c>
      <c r="D17" s="141" t="s">
        <v>123</v>
      </c>
      <c r="E17" s="141" t="s">
        <v>148</v>
      </c>
      <c r="F17" s="141" t="s">
        <v>149</v>
      </c>
      <c r="G17" s="141" t="s">
        <v>149</v>
      </c>
      <c r="H17" s="141">
        <v>10</v>
      </c>
      <c r="I17" s="172"/>
      <c r="J17" s="141"/>
      <c r="K17" s="173"/>
      <c r="L17" s="173"/>
      <c r="M17" s="173"/>
      <c r="N17" s="173"/>
      <c r="O17" s="173"/>
      <c r="P17" s="173"/>
      <c r="Q17" s="173"/>
      <c r="R17" s="173"/>
      <c r="S17" s="173"/>
      <c r="T17" s="173"/>
      <c r="U17" s="173"/>
      <c r="V17" s="173"/>
      <c r="W17" s="173"/>
      <c r="X17" s="173"/>
      <c r="Y17" s="173"/>
      <c r="Z17" s="173"/>
      <c r="AA17" s="173"/>
      <c r="AB17" s="173"/>
      <c r="AC17" s="173"/>
      <c r="AD17" s="173"/>
      <c r="AE17" s="173"/>
      <c r="AF17" s="173"/>
      <c r="AG17" s="173"/>
      <c r="AH17" s="173"/>
      <c r="AI17" s="173"/>
      <c r="AJ17" s="173"/>
      <c r="AK17" s="173"/>
      <c r="AL17" s="141"/>
      <c r="AM17" s="188"/>
      <c r="AN17" s="188"/>
      <c r="AO17" s="188"/>
      <c r="AP17" s="188"/>
      <c r="AQ17" s="188"/>
      <c r="AR17" s="188"/>
      <c r="AS17" s="188"/>
      <c r="AT17" s="188"/>
      <c r="AU17" s="188"/>
      <c r="AV17" s="188"/>
      <c r="AW17" s="188"/>
      <c r="AX17" s="188"/>
      <c r="AY17" s="188"/>
      <c r="AZ17" s="188"/>
      <c r="BA17" s="188"/>
      <c r="BB17" s="188"/>
      <c r="BC17" s="188"/>
      <c r="BD17" s="188"/>
      <c r="BE17" s="188"/>
      <c r="BF17" s="188"/>
      <c r="BG17" s="188"/>
      <c r="BH17" s="188"/>
      <c r="BI17" s="188"/>
      <c r="BJ17" s="188"/>
      <c r="BK17" s="188"/>
      <c r="BL17" s="188"/>
      <c r="BM17" s="188"/>
      <c r="BN17" s="188"/>
      <c r="BO17" s="188"/>
      <c r="BP17" s="188"/>
    </row>
    <row r="18" spans="2:68" x14ac:dyDescent="0.15">
      <c r="B18" s="170">
        <v>26640</v>
      </c>
      <c r="C18" s="170" t="s">
        <v>150</v>
      </c>
      <c r="D18" s="170" t="s">
        <v>123</v>
      </c>
      <c r="E18" s="170" t="s">
        <v>148</v>
      </c>
      <c r="F18" s="170" t="s">
        <v>151</v>
      </c>
      <c r="G18" s="170" t="s">
        <v>151</v>
      </c>
      <c r="H18" s="170">
        <v>34</v>
      </c>
      <c r="I18" s="169"/>
      <c r="J18" s="170"/>
      <c r="K18" s="171"/>
      <c r="L18" s="171"/>
      <c r="M18" s="171"/>
      <c r="N18" s="171"/>
      <c r="O18" s="171"/>
      <c r="P18" s="171"/>
      <c r="Q18" s="171"/>
      <c r="R18" s="171"/>
      <c r="S18" s="171"/>
      <c r="T18" s="171"/>
      <c r="U18" s="171"/>
      <c r="V18" s="171"/>
      <c r="W18" s="171"/>
      <c r="X18" s="171"/>
      <c r="Y18" s="171"/>
      <c r="Z18" s="171"/>
      <c r="AA18" s="171"/>
      <c r="AB18" s="171"/>
      <c r="AC18" s="171"/>
      <c r="AD18" s="171"/>
      <c r="AE18" s="171"/>
      <c r="AF18" s="171"/>
      <c r="AG18" s="171"/>
      <c r="AH18" s="171"/>
      <c r="AI18" s="171"/>
      <c r="AJ18" s="171"/>
      <c r="AK18" s="171"/>
      <c r="AL18" s="141"/>
      <c r="AM18" s="188"/>
      <c r="AN18" s="188"/>
      <c r="AO18" s="188"/>
      <c r="AP18" s="188"/>
      <c r="AQ18" s="188"/>
      <c r="AR18" s="188"/>
      <c r="AS18" s="188"/>
      <c r="AT18" s="188"/>
      <c r="AU18" s="188"/>
      <c r="AV18" s="188"/>
      <c r="AW18" s="188"/>
      <c r="AX18" s="188"/>
      <c r="AY18" s="188"/>
      <c r="AZ18" s="188"/>
      <c r="BA18" s="188"/>
      <c r="BB18" s="188"/>
      <c r="BC18" s="188"/>
      <c r="BD18" s="188"/>
      <c r="BE18" s="188"/>
      <c r="BF18" s="188"/>
      <c r="BG18" s="188"/>
      <c r="BH18" s="188"/>
      <c r="BI18" s="188"/>
      <c r="BJ18" s="188"/>
      <c r="BK18" s="188"/>
      <c r="BL18" s="188"/>
      <c r="BM18" s="188"/>
      <c r="BN18" s="188"/>
      <c r="BO18" s="188"/>
      <c r="BP18" s="188"/>
    </row>
    <row r="19" spans="2:68" x14ac:dyDescent="0.15">
      <c r="B19" s="141">
        <v>34548</v>
      </c>
      <c r="C19" s="141" t="s">
        <v>152</v>
      </c>
      <c r="D19" s="141" t="s">
        <v>123</v>
      </c>
      <c r="E19" s="141" t="s">
        <v>153</v>
      </c>
      <c r="F19" s="141" t="s">
        <v>154</v>
      </c>
      <c r="G19" s="141" t="s">
        <v>154</v>
      </c>
      <c r="H19" s="141">
        <v>159</v>
      </c>
      <c r="I19" s="172"/>
      <c r="J19" s="141" t="s">
        <v>83</v>
      </c>
      <c r="K19" s="173" t="s">
        <v>83</v>
      </c>
      <c r="L19" s="173" t="s">
        <v>83</v>
      </c>
      <c r="M19" s="173" t="s">
        <v>83</v>
      </c>
      <c r="N19" s="173" t="s">
        <v>83</v>
      </c>
      <c r="O19" s="173" t="s">
        <v>83</v>
      </c>
      <c r="P19" s="173" t="s">
        <v>83</v>
      </c>
      <c r="Q19" s="173" t="s">
        <v>83</v>
      </c>
      <c r="R19" s="173" t="s">
        <v>83</v>
      </c>
      <c r="S19" s="173" t="s">
        <v>83</v>
      </c>
      <c r="T19" s="173" t="s">
        <v>83</v>
      </c>
      <c r="U19" s="173" t="s">
        <v>83</v>
      </c>
      <c r="V19" s="173" t="s">
        <v>83</v>
      </c>
      <c r="W19" s="173" t="s">
        <v>83</v>
      </c>
      <c r="X19" s="173" t="s">
        <v>83</v>
      </c>
      <c r="Y19" s="173" t="s">
        <v>83</v>
      </c>
      <c r="Z19" s="173" t="s">
        <v>83</v>
      </c>
      <c r="AA19" s="173" t="s">
        <v>83</v>
      </c>
      <c r="AB19" s="173" t="s">
        <v>83</v>
      </c>
      <c r="AC19" s="173" t="s">
        <v>83</v>
      </c>
      <c r="AD19" s="173" t="s">
        <v>83</v>
      </c>
      <c r="AE19" s="173" t="s">
        <v>83</v>
      </c>
      <c r="AF19" s="173" t="s">
        <v>83</v>
      </c>
      <c r="AG19" s="173" t="s">
        <v>83</v>
      </c>
      <c r="AH19" s="173" t="s">
        <v>83</v>
      </c>
      <c r="AI19" s="173" t="s">
        <v>83</v>
      </c>
      <c r="AJ19" s="173" t="s">
        <v>83</v>
      </c>
      <c r="AK19" s="173" t="s">
        <v>83</v>
      </c>
      <c r="AL19" s="141"/>
      <c r="AM19" s="188"/>
      <c r="AN19" s="188"/>
      <c r="AO19" s="188"/>
      <c r="AP19" s="188"/>
      <c r="AQ19" s="188"/>
      <c r="AR19" s="188"/>
      <c r="AS19" s="188"/>
      <c r="AT19" s="188"/>
      <c r="AU19" s="188"/>
      <c r="AV19" s="188"/>
      <c r="AW19" s="188"/>
      <c r="AX19" s="188"/>
      <c r="AY19" s="188"/>
      <c r="AZ19" s="188"/>
      <c r="BA19" s="188"/>
      <c r="BB19" s="188"/>
      <c r="BC19" s="188"/>
      <c r="BD19" s="188"/>
      <c r="BE19" s="188"/>
      <c r="BF19" s="188"/>
      <c r="BG19" s="188"/>
      <c r="BH19" s="188"/>
      <c r="BI19" s="188"/>
      <c r="BJ19" s="188"/>
      <c r="BK19" s="188"/>
      <c r="BL19" s="188"/>
      <c r="BM19" s="188"/>
      <c r="BN19" s="188"/>
      <c r="BO19" s="188"/>
      <c r="BP19" s="188"/>
    </row>
    <row r="20" spans="2:68" x14ac:dyDescent="0.15">
      <c r="B20" s="170">
        <v>2043</v>
      </c>
      <c r="C20" s="170" t="s">
        <v>155</v>
      </c>
      <c r="D20" s="170" t="s">
        <v>123</v>
      </c>
      <c r="E20" s="170" t="s">
        <v>153</v>
      </c>
      <c r="F20" s="170" t="s">
        <v>156</v>
      </c>
      <c r="G20" s="170" t="s">
        <v>132</v>
      </c>
      <c r="H20" s="170">
        <v>25</v>
      </c>
      <c r="I20" s="169" t="s">
        <v>87</v>
      </c>
      <c r="J20" s="170" t="s">
        <v>115</v>
      </c>
      <c r="K20" s="171" t="s">
        <v>115</v>
      </c>
      <c r="L20" s="171" t="s">
        <v>115</v>
      </c>
      <c r="M20" s="171" t="s">
        <v>115</v>
      </c>
      <c r="N20" s="171" t="s">
        <v>115</v>
      </c>
      <c r="O20" s="171" t="s">
        <v>115</v>
      </c>
      <c r="P20" s="171" t="s">
        <v>115</v>
      </c>
      <c r="Q20" s="171" t="s">
        <v>115</v>
      </c>
      <c r="R20" s="171" t="s">
        <v>115</v>
      </c>
      <c r="S20" s="171" t="s">
        <v>115</v>
      </c>
      <c r="T20" s="171" t="s">
        <v>115</v>
      </c>
      <c r="U20" s="171" t="s">
        <v>115</v>
      </c>
      <c r="V20" s="171" t="s">
        <v>115</v>
      </c>
      <c r="W20" s="171" t="s">
        <v>115</v>
      </c>
      <c r="X20" s="171" t="s">
        <v>115</v>
      </c>
      <c r="Y20" s="171" t="s">
        <v>115</v>
      </c>
      <c r="Z20" s="171" t="s">
        <v>115</v>
      </c>
      <c r="AA20" s="171" t="s">
        <v>115</v>
      </c>
      <c r="AB20" s="171" t="s">
        <v>115</v>
      </c>
      <c r="AC20" s="171" t="s">
        <v>115</v>
      </c>
      <c r="AD20" s="171" t="s">
        <v>115</v>
      </c>
      <c r="AE20" s="171" t="s">
        <v>115</v>
      </c>
      <c r="AF20" s="171" t="s">
        <v>115</v>
      </c>
      <c r="AG20" s="171" t="s">
        <v>115</v>
      </c>
      <c r="AH20" s="171" t="s">
        <v>115</v>
      </c>
      <c r="AI20" s="171" t="s">
        <v>115</v>
      </c>
      <c r="AJ20" s="171" t="s">
        <v>115</v>
      </c>
      <c r="AK20" s="171" t="s">
        <v>115</v>
      </c>
      <c r="AL20" s="141"/>
      <c r="AM20" s="188"/>
      <c r="AN20" s="188"/>
      <c r="AO20" s="188"/>
      <c r="AP20" s="188"/>
      <c r="AQ20" s="188"/>
      <c r="AR20" s="188"/>
      <c r="AS20" s="188"/>
      <c r="AT20" s="188"/>
      <c r="AU20" s="188"/>
      <c r="AV20" s="188"/>
      <c r="AW20" s="188"/>
      <c r="AX20" s="188"/>
      <c r="AY20" s="188"/>
      <c r="AZ20" s="188"/>
      <c r="BA20" s="188"/>
      <c r="BB20" s="188"/>
      <c r="BC20" s="188"/>
      <c r="BD20" s="188"/>
      <c r="BE20" s="188"/>
      <c r="BF20" s="188"/>
      <c r="BG20" s="188"/>
      <c r="BH20" s="188"/>
      <c r="BI20" s="188"/>
      <c r="BJ20" s="188"/>
      <c r="BK20" s="188"/>
      <c r="BL20" s="188"/>
      <c r="BM20" s="188"/>
      <c r="BN20" s="188"/>
      <c r="BO20" s="188"/>
      <c r="BP20" s="188"/>
    </row>
    <row r="21" spans="2:68" x14ac:dyDescent="0.15">
      <c r="B21" s="141">
        <v>53125</v>
      </c>
      <c r="C21" s="141" t="s">
        <v>157</v>
      </c>
      <c r="D21" s="141" t="s">
        <v>123</v>
      </c>
      <c r="E21" s="141" t="s">
        <v>153</v>
      </c>
      <c r="F21" s="141" t="s">
        <v>104</v>
      </c>
      <c r="G21" s="141" t="s">
        <v>158</v>
      </c>
      <c r="H21" s="141">
        <v>0</v>
      </c>
      <c r="I21" s="172"/>
      <c r="J21" s="141"/>
      <c r="K21" s="173"/>
      <c r="L21" s="173"/>
      <c r="M21" s="173"/>
      <c r="N21" s="173"/>
      <c r="O21" s="173"/>
      <c r="P21" s="173"/>
      <c r="Q21" s="173"/>
      <c r="R21" s="173"/>
      <c r="S21" s="173"/>
      <c r="T21" s="173"/>
      <c r="U21" s="173"/>
      <c r="V21" s="173"/>
      <c r="W21" s="173"/>
      <c r="X21" s="173"/>
      <c r="Y21" s="173"/>
      <c r="Z21" s="173"/>
      <c r="AA21" s="173"/>
      <c r="AB21" s="173"/>
      <c r="AC21" s="173"/>
      <c r="AD21" s="173"/>
      <c r="AE21" s="173"/>
      <c r="AF21" s="173"/>
      <c r="AG21" s="173"/>
      <c r="AH21" s="173"/>
      <c r="AI21" s="173"/>
      <c r="AJ21" s="173"/>
      <c r="AK21" s="173"/>
      <c r="AL21" s="141"/>
      <c r="AM21" s="188"/>
      <c r="AN21" s="188"/>
      <c r="AO21" s="188"/>
      <c r="AP21" s="188"/>
      <c r="AQ21" s="188"/>
      <c r="AR21" s="188"/>
      <c r="AS21" s="188"/>
      <c r="AT21" s="188"/>
      <c r="AU21" s="188"/>
      <c r="AV21" s="188"/>
      <c r="AW21" s="188"/>
      <c r="AX21" s="188"/>
      <c r="AY21" s="188"/>
      <c r="AZ21" s="188"/>
      <c r="BA21" s="188"/>
      <c r="BB21" s="188"/>
      <c r="BC21" s="188"/>
      <c r="BD21" s="188"/>
      <c r="BE21" s="188"/>
      <c r="BF21" s="188"/>
      <c r="BG21" s="188"/>
      <c r="BH21" s="188"/>
      <c r="BI21" s="188"/>
      <c r="BJ21" s="188"/>
      <c r="BK21" s="188"/>
      <c r="BL21" s="188"/>
      <c r="BM21" s="188"/>
      <c r="BN21" s="188"/>
      <c r="BO21" s="188"/>
      <c r="BP21" s="188"/>
    </row>
    <row r="22" spans="2:68" x14ac:dyDescent="0.15">
      <c r="B22" s="170">
        <v>74589</v>
      </c>
      <c r="C22" s="170" t="s">
        <v>159</v>
      </c>
      <c r="D22" s="170" t="s">
        <v>123</v>
      </c>
      <c r="E22" s="170" t="s">
        <v>153</v>
      </c>
      <c r="F22" s="170" t="s">
        <v>160</v>
      </c>
      <c r="G22" s="170"/>
      <c r="H22" s="170">
        <v>0</v>
      </c>
      <c r="I22" s="169"/>
      <c r="J22" s="170"/>
      <c r="K22" s="171"/>
      <c r="L22" s="171"/>
      <c r="M22" s="171"/>
      <c r="N22" s="171"/>
      <c r="O22" s="171"/>
      <c r="P22" s="171"/>
      <c r="Q22" s="171"/>
      <c r="R22" s="171"/>
      <c r="S22" s="171"/>
      <c r="T22" s="171"/>
      <c r="U22" s="171"/>
      <c r="V22" s="171"/>
      <c r="W22" s="171"/>
      <c r="X22" s="171"/>
      <c r="Y22" s="171"/>
      <c r="Z22" s="171"/>
      <c r="AA22" s="171"/>
      <c r="AB22" s="171"/>
      <c r="AC22" s="171"/>
      <c r="AD22" s="171"/>
      <c r="AE22" s="171"/>
      <c r="AF22" s="171"/>
      <c r="AG22" s="171"/>
      <c r="AH22" s="171"/>
      <c r="AI22" s="171"/>
      <c r="AJ22" s="171"/>
      <c r="AK22" s="171"/>
      <c r="AL22" s="141"/>
      <c r="AM22" s="188"/>
      <c r="AN22" s="188"/>
      <c r="AO22" s="188"/>
      <c r="AP22" s="188"/>
      <c r="AQ22" s="188"/>
      <c r="AR22" s="188"/>
      <c r="AS22" s="188"/>
      <c r="AT22" s="188"/>
      <c r="AU22" s="188"/>
      <c r="AV22" s="188"/>
      <c r="AW22" s="188"/>
      <c r="AX22" s="188"/>
      <c r="AY22" s="188"/>
      <c r="AZ22" s="188"/>
      <c r="BA22" s="188"/>
      <c r="BB22" s="188"/>
      <c r="BC22" s="188"/>
      <c r="BD22" s="188"/>
      <c r="BE22" s="188"/>
      <c r="BF22" s="188"/>
      <c r="BG22" s="188"/>
      <c r="BH22" s="188"/>
      <c r="BI22" s="188"/>
      <c r="BJ22" s="188"/>
      <c r="BK22" s="188"/>
      <c r="BL22" s="188"/>
      <c r="BM22" s="188"/>
      <c r="BN22" s="188"/>
      <c r="BO22" s="188"/>
      <c r="BP22" s="188"/>
    </row>
    <row r="23" spans="2:68" x14ac:dyDescent="0.15">
      <c r="B23" s="141">
        <v>19596</v>
      </c>
      <c r="C23" s="141" t="s">
        <v>161</v>
      </c>
      <c r="D23" s="141" t="s">
        <v>123</v>
      </c>
      <c r="E23" s="141" t="s">
        <v>153</v>
      </c>
      <c r="F23" s="141" t="s">
        <v>162</v>
      </c>
      <c r="G23" s="141"/>
      <c r="H23" s="141">
        <v>0</v>
      </c>
      <c r="I23" s="172"/>
      <c r="J23" s="141"/>
      <c r="K23" s="173"/>
      <c r="L23" s="173"/>
      <c r="M23" s="173"/>
      <c r="N23" s="173"/>
      <c r="O23" s="173"/>
      <c r="P23" s="173"/>
      <c r="Q23" s="173"/>
      <c r="R23" s="173"/>
      <c r="S23" s="173"/>
      <c r="T23" s="173"/>
      <c r="U23" s="173"/>
      <c r="V23" s="173"/>
      <c r="W23" s="173"/>
      <c r="X23" s="173"/>
      <c r="Y23" s="173"/>
      <c r="Z23" s="173"/>
      <c r="AA23" s="173"/>
      <c r="AB23" s="173"/>
      <c r="AC23" s="173"/>
      <c r="AD23" s="173"/>
      <c r="AE23" s="173"/>
      <c r="AF23" s="173"/>
      <c r="AG23" s="173"/>
      <c r="AH23" s="173"/>
      <c r="AI23" s="173"/>
      <c r="AJ23" s="173"/>
      <c r="AK23" s="173"/>
      <c r="AL23" s="141"/>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row>
    <row r="24" spans="2:68" x14ac:dyDescent="0.15">
      <c r="B24" s="170">
        <v>78885</v>
      </c>
      <c r="C24" s="170" t="s">
        <v>163</v>
      </c>
      <c r="D24" s="170" t="s">
        <v>123</v>
      </c>
      <c r="E24" s="170" t="s">
        <v>153</v>
      </c>
      <c r="F24" s="170"/>
      <c r="G24" s="170"/>
      <c r="H24" s="170">
        <v>11</v>
      </c>
      <c r="I24" s="169"/>
      <c r="J24" s="170"/>
      <c r="K24" s="171"/>
      <c r="L24" s="171"/>
      <c r="M24" s="171"/>
      <c r="N24" s="171"/>
      <c r="O24" s="171"/>
      <c r="P24" s="171"/>
      <c r="Q24" s="171"/>
      <c r="R24" s="171"/>
      <c r="S24" s="171"/>
      <c r="T24" s="171"/>
      <c r="U24" s="171"/>
      <c r="V24" s="171"/>
      <c r="W24" s="171"/>
      <c r="X24" s="171"/>
      <c r="Y24" s="171"/>
      <c r="Z24" s="171"/>
      <c r="AA24" s="171"/>
      <c r="AB24" s="171"/>
      <c r="AC24" s="171"/>
      <c r="AD24" s="171"/>
      <c r="AE24" s="171"/>
      <c r="AF24" s="171"/>
      <c r="AG24" s="171"/>
      <c r="AH24" s="171"/>
      <c r="AI24" s="171"/>
      <c r="AJ24" s="171"/>
      <c r="AK24" s="171"/>
      <c r="AL24" s="141"/>
      <c r="AM24" s="188"/>
      <c r="AN24" s="188"/>
      <c r="AO24" s="188"/>
      <c r="AP24" s="188"/>
      <c r="AQ24" s="188"/>
      <c r="AR24" s="188"/>
      <c r="AS24" s="188"/>
      <c r="AT24" s="188"/>
      <c r="AU24" s="188"/>
      <c r="AV24" s="188"/>
      <c r="AW24" s="188"/>
      <c r="AX24" s="188"/>
      <c r="AY24" s="188"/>
      <c r="AZ24" s="188"/>
      <c r="BA24" s="188"/>
      <c r="BB24" s="188"/>
      <c r="BC24" s="188"/>
      <c r="BD24" s="188"/>
      <c r="BE24" s="188"/>
      <c r="BF24" s="188"/>
      <c r="BG24" s="188"/>
      <c r="BH24" s="188"/>
      <c r="BI24" s="188"/>
      <c r="BJ24" s="188"/>
      <c r="BK24" s="188"/>
      <c r="BL24" s="188"/>
      <c r="BM24" s="188"/>
      <c r="BN24" s="188"/>
      <c r="BO24" s="188"/>
      <c r="BP24" s="188"/>
    </row>
    <row r="25" spans="2:68" x14ac:dyDescent="0.15">
      <c r="B25" s="141">
        <v>32174</v>
      </c>
      <c r="C25" s="141" t="s">
        <v>164</v>
      </c>
      <c r="D25" s="141" t="s">
        <v>123</v>
      </c>
      <c r="E25" s="141" t="s">
        <v>153</v>
      </c>
      <c r="F25" s="141" t="s">
        <v>165</v>
      </c>
      <c r="G25" s="141" t="s">
        <v>97</v>
      </c>
      <c r="H25" s="141">
        <v>86</v>
      </c>
      <c r="I25" s="172"/>
      <c r="J25" s="141" t="s">
        <v>83</v>
      </c>
      <c r="K25" s="173" t="s">
        <v>83</v>
      </c>
      <c r="L25" s="173" t="s">
        <v>83</v>
      </c>
      <c r="M25" s="173" t="s">
        <v>83</v>
      </c>
      <c r="N25" s="173" t="s">
        <v>83</v>
      </c>
      <c r="O25" s="173" t="s">
        <v>83</v>
      </c>
      <c r="P25" s="173" t="s">
        <v>83</v>
      </c>
      <c r="Q25" s="173" t="s">
        <v>83</v>
      </c>
      <c r="R25" s="173" t="s">
        <v>83</v>
      </c>
      <c r="S25" s="173" t="s">
        <v>83</v>
      </c>
      <c r="T25" s="173" t="s">
        <v>83</v>
      </c>
      <c r="U25" s="173" t="s">
        <v>83</v>
      </c>
      <c r="V25" s="173" t="s">
        <v>83</v>
      </c>
      <c r="W25" s="173" t="s">
        <v>83</v>
      </c>
      <c r="X25" s="173" t="s">
        <v>83</v>
      </c>
      <c r="Y25" s="173" t="s">
        <v>83</v>
      </c>
      <c r="Z25" s="173" t="s">
        <v>83</v>
      </c>
      <c r="AA25" s="173" t="s">
        <v>83</v>
      </c>
      <c r="AB25" s="173" t="s">
        <v>83</v>
      </c>
      <c r="AC25" s="173" t="s">
        <v>83</v>
      </c>
      <c r="AD25" s="173" t="s">
        <v>83</v>
      </c>
      <c r="AE25" s="173" t="s">
        <v>83</v>
      </c>
      <c r="AF25" s="173" t="s">
        <v>83</v>
      </c>
      <c r="AG25" s="173" t="s">
        <v>83</v>
      </c>
      <c r="AH25" s="173" t="s">
        <v>83</v>
      </c>
      <c r="AI25" s="173" t="s">
        <v>83</v>
      </c>
      <c r="AJ25" s="173" t="s">
        <v>83</v>
      </c>
      <c r="AK25" s="173" t="s">
        <v>83</v>
      </c>
      <c r="AL25" s="141"/>
      <c r="AM25" s="188"/>
      <c r="AN25" s="188"/>
      <c r="AO25" s="188"/>
      <c r="AP25" s="188"/>
      <c r="AQ25" s="188"/>
      <c r="AR25" s="188"/>
      <c r="AS25" s="188"/>
      <c r="AT25" s="188"/>
      <c r="AU25" s="188"/>
      <c r="AV25" s="188"/>
      <c r="AW25" s="188"/>
      <c r="AX25" s="188"/>
      <c r="AY25" s="188"/>
      <c r="AZ25" s="188"/>
      <c r="BA25" s="188"/>
      <c r="BB25" s="188"/>
      <c r="BC25" s="188"/>
      <c r="BD25" s="188"/>
      <c r="BE25" s="188"/>
      <c r="BF25" s="188"/>
      <c r="BG25" s="188"/>
      <c r="BH25" s="188"/>
      <c r="BI25" s="188"/>
      <c r="BJ25" s="188"/>
      <c r="BK25" s="188"/>
      <c r="BL25" s="188"/>
      <c r="BM25" s="188"/>
      <c r="BN25" s="188"/>
      <c r="BO25" s="188"/>
      <c r="BP25" s="188"/>
    </row>
    <row r="26" spans="2:68" x14ac:dyDescent="0.15">
      <c r="B26" s="170">
        <v>8085</v>
      </c>
      <c r="C26" s="170" t="s">
        <v>166</v>
      </c>
      <c r="D26" s="170" t="s">
        <v>123</v>
      </c>
      <c r="E26" s="170" t="s">
        <v>153</v>
      </c>
      <c r="F26" s="170" t="s">
        <v>167</v>
      </c>
      <c r="G26" s="170" t="s">
        <v>168</v>
      </c>
      <c r="H26" s="170">
        <v>47</v>
      </c>
      <c r="I26" s="169"/>
      <c r="J26" s="170" t="s">
        <v>88</v>
      </c>
      <c r="K26" s="171" t="s">
        <v>88</v>
      </c>
      <c r="L26" s="171" t="s">
        <v>88</v>
      </c>
      <c r="M26" s="171" t="s">
        <v>88</v>
      </c>
      <c r="N26" s="171" t="s">
        <v>88</v>
      </c>
      <c r="O26" s="171" t="s">
        <v>88</v>
      </c>
      <c r="P26" s="171" t="s">
        <v>88</v>
      </c>
      <c r="Q26" s="171" t="s">
        <v>88</v>
      </c>
      <c r="R26" s="171" t="s">
        <v>88</v>
      </c>
      <c r="S26" s="171" t="s">
        <v>88</v>
      </c>
      <c r="T26" s="171" t="s">
        <v>88</v>
      </c>
      <c r="U26" s="171" t="s">
        <v>88</v>
      </c>
      <c r="V26" s="171" t="s">
        <v>88</v>
      </c>
      <c r="W26" s="171" t="s">
        <v>88</v>
      </c>
      <c r="X26" s="171" t="s">
        <v>88</v>
      </c>
      <c r="Y26" s="171" t="s">
        <v>88</v>
      </c>
      <c r="Z26" s="171" t="s">
        <v>88</v>
      </c>
      <c r="AA26" s="171" t="s">
        <v>88</v>
      </c>
      <c r="AB26" s="171" t="s">
        <v>88</v>
      </c>
      <c r="AC26" s="171" t="s">
        <v>88</v>
      </c>
      <c r="AD26" s="171" t="s">
        <v>88</v>
      </c>
      <c r="AE26" s="171" t="s">
        <v>88</v>
      </c>
      <c r="AF26" s="171" t="s">
        <v>88</v>
      </c>
      <c r="AG26" s="171" t="s">
        <v>88</v>
      </c>
      <c r="AH26" s="171" t="s">
        <v>88</v>
      </c>
      <c r="AI26" s="171" t="s">
        <v>88</v>
      </c>
      <c r="AJ26" s="171" t="s">
        <v>88</v>
      </c>
      <c r="AK26" s="171" t="s">
        <v>88</v>
      </c>
      <c r="AL26" s="141"/>
      <c r="AM26" s="188"/>
      <c r="AN26" s="188"/>
      <c r="AO26" s="188"/>
      <c r="AP26" s="188"/>
      <c r="AQ26" s="188"/>
      <c r="AR26" s="188"/>
      <c r="AS26" s="188"/>
      <c r="AT26" s="188"/>
      <c r="AU26" s="188"/>
      <c r="AV26" s="188"/>
      <c r="AW26" s="188"/>
      <c r="AX26" s="188"/>
      <c r="AY26" s="188"/>
      <c r="AZ26" s="188"/>
      <c r="BA26" s="188"/>
      <c r="BB26" s="188"/>
      <c r="BC26" s="188"/>
      <c r="BD26" s="188"/>
      <c r="BE26" s="188"/>
      <c r="BF26" s="188"/>
      <c r="BG26" s="188"/>
      <c r="BH26" s="188"/>
      <c r="BI26" s="188"/>
      <c r="BJ26" s="188"/>
      <c r="BK26" s="188"/>
      <c r="BL26" s="188"/>
      <c r="BM26" s="188"/>
      <c r="BN26" s="188"/>
      <c r="BO26" s="188"/>
      <c r="BP26" s="188"/>
    </row>
    <row r="27" spans="2:68" x14ac:dyDescent="0.15">
      <c r="B27" s="141">
        <v>66004</v>
      </c>
      <c r="C27" s="141" t="s">
        <v>169</v>
      </c>
      <c r="D27" s="141" t="s">
        <v>123</v>
      </c>
      <c r="E27" s="141" t="s">
        <v>153</v>
      </c>
      <c r="F27" s="141" t="s">
        <v>170</v>
      </c>
      <c r="G27" s="141" t="s">
        <v>170</v>
      </c>
      <c r="H27" s="141">
        <v>130</v>
      </c>
      <c r="I27" s="172"/>
      <c r="J27" s="141" t="s">
        <v>83</v>
      </c>
      <c r="K27" s="173" t="s">
        <v>83</v>
      </c>
      <c r="L27" s="173" t="s">
        <v>83</v>
      </c>
      <c r="M27" s="173" t="s">
        <v>83</v>
      </c>
      <c r="N27" s="173" t="s">
        <v>83</v>
      </c>
      <c r="O27" s="173" t="s">
        <v>83</v>
      </c>
      <c r="P27" s="173" t="s">
        <v>83</v>
      </c>
      <c r="Q27" s="173" t="s">
        <v>83</v>
      </c>
      <c r="R27" s="173" t="s">
        <v>83</v>
      </c>
      <c r="S27" s="173" t="s">
        <v>83</v>
      </c>
      <c r="T27" s="173" t="s">
        <v>83</v>
      </c>
      <c r="U27" s="173" t="s">
        <v>83</v>
      </c>
      <c r="V27" s="173" t="s">
        <v>83</v>
      </c>
      <c r="W27" s="173" t="s">
        <v>83</v>
      </c>
      <c r="X27" s="173" t="s">
        <v>83</v>
      </c>
      <c r="Y27" s="173" t="s">
        <v>83</v>
      </c>
      <c r="Z27" s="173" t="s">
        <v>83</v>
      </c>
      <c r="AA27" s="173" t="s">
        <v>83</v>
      </c>
      <c r="AB27" s="173" t="s">
        <v>83</v>
      </c>
      <c r="AC27" s="173" t="s">
        <v>83</v>
      </c>
      <c r="AD27" s="173" t="s">
        <v>83</v>
      </c>
      <c r="AE27" s="173" t="s">
        <v>83</v>
      </c>
      <c r="AF27" s="173" t="s">
        <v>83</v>
      </c>
      <c r="AG27" s="173" t="s">
        <v>83</v>
      </c>
      <c r="AH27" s="173" t="s">
        <v>83</v>
      </c>
      <c r="AI27" s="173" t="s">
        <v>83</v>
      </c>
      <c r="AJ27" s="173" t="s">
        <v>83</v>
      </c>
      <c r="AK27" s="173" t="s">
        <v>83</v>
      </c>
      <c r="AL27" s="141"/>
      <c r="AM27" s="188"/>
      <c r="AN27" s="188"/>
      <c r="AO27" s="188"/>
      <c r="AP27" s="188"/>
      <c r="AQ27" s="188"/>
      <c r="AR27" s="188"/>
      <c r="AS27" s="188"/>
      <c r="AT27" s="188"/>
      <c r="AU27" s="188"/>
      <c r="AV27" s="188"/>
      <c r="AW27" s="188"/>
      <c r="AX27" s="188"/>
      <c r="AY27" s="188"/>
      <c r="AZ27" s="188"/>
      <c r="BA27" s="188"/>
      <c r="BB27" s="188"/>
      <c r="BC27" s="188"/>
      <c r="BD27" s="188"/>
      <c r="BE27" s="188"/>
      <c r="BF27" s="188"/>
      <c r="BG27" s="188"/>
      <c r="BH27" s="188"/>
      <c r="BI27" s="188"/>
      <c r="BJ27" s="188"/>
      <c r="BK27" s="188"/>
      <c r="BL27" s="188"/>
      <c r="BM27" s="188"/>
      <c r="BN27" s="188"/>
      <c r="BO27" s="188"/>
      <c r="BP27" s="188"/>
    </row>
    <row r="28" spans="2:68" x14ac:dyDescent="0.15">
      <c r="B28" s="170">
        <v>2044</v>
      </c>
      <c r="C28" s="170" t="s">
        <v>171</v>
      </c>
      <c r="D28" s="170" t="s">
        <v>123</v>
      </c>
      <c r="E28" s="170" t="s">
        <v>153</v>
      </c>
      <c r="F28" s="170" t="s">
        <v>172</v>
      </c>
      <c r="G28" s="170" t="s">
        <v>172</v>
      </c>
      <c r="H28" s="170">
        <v>18</v>
      </c>
      <c r="I28" s="169"/>
      <c r="J28" s="170"/>
      <c r="K28" s="171"/>
      <c r="L28" s="171"/>
      <c r="M28" s="171"/>
      <c r="N28" s="171"/>
      <c r="O28" s="171"/>
      <c r="P28" s="171"/>
      <c r="Q28" s="171"/>
      <c r="R28" s="171"/>
      <c r="S28" s="171"/>
      <c r="T28" s="171"/>
      <c r="U28" s="171"/>
      <c r="V28" s="171"/>
      <c r="W28" s="171"/>
      <c r="X28" s="171"/>
      <c r="Y28" s="171"/>
      <c r="Z28" s="171"/>
      <c r="AA28" s="171"/>
      <c r="AB28" s="171"/>
      <c r="AC28" s="171"/>
      <c r="AD28" s="171"/>
      <c r="AE28" s="171"/>
      <c r="AF28" s="171"/>
      <c r="AG28" s="171"/>
      <c r="AH28" s="171"/>
      <c r="AI28" s="171"/>
      <c r="AJ28" s="171"/>
      <c r="AK28" s="171"/>
      <c r="AL28" s="141"/>
      <c r="AM28" s="188"/>
      <c r="AN28" s="188"/>
      <c r="AO28" s="188"/>
      <c r="AP28" s="188"/>
      <c r="AQ28" s="188"/>
      <c r="AR28" s="188"/>
      <c r="AS28" s="188"/>
      <c r="AT28" s="188"/>
      <c r="AU28" s="188"/>
      <c r="AV28" s="188"/>
      <c r="AW28" s="188"/>
      <c r="AX28" s="188"/>
      <c r="AY28" s="188"/>
      <c r="AZ28" s="188"/>
      <c r="BA28" s="188"/>
      <c r="BB28" s="188"/>
      <c r="BC28" s="188"/>
      <c r="BD28" s="188"/>
      <c r="BE28" s="188"/>
      <c r="BF28" s="188"/>
      <c r="BG28" s="188"/>
      <c r="BH28" s="188"/>
      <c r="BI28" s="188"/>
      <c r="BJ28" s="188"/>
      <c r="BK28" s="188"/>
      <c r="BL28" s="188"/>
      <c r="BM28" s="188"/>
      <c r="BN28" s="188"/>
      <c r="BO28" s="188"/>
      <c r="BP28" s="188"/>
    </row>
    <row r="29" spans="2:68" x14ac:dyDescent="0.15">
      <c r="B29" s="141">
        <v>38276</v>
      </c>
      <c r="C29" s="141" t="s">
        <v>173</v>
      </c>
      <c r="D29" s="141" t="s">
        <v>123</v>
      </c>
      <c r="E29" s="141" t="s">
        <v>153</v>
      </c>
      <c r="F29" s="141" t="s">
        <v>174</v>
      </c>
      <c r="G29" s="141" t="s">
        <v>174</v>
      </c>
      <c r="H29" s="141">
        <v>20</v>
      </c>
      <c r="I29" s="172"/>
      <c r="J29" s="141" t="s">
        <v>83</v>
      </c>
      <c r="K29" s="173" t="s">
        <v>83</v>
      </c>
      <c r="L29" s="173" t="s">
        <v>83</v>
      </c>
      <c r="M29" s="173" t="s">
        <v>83</v>
      </c>
      <c r="N29" s="173" t="s">
        <v>83</v>
      </c>
      <c r="O29" s="173" t="s">
        <v>83</v>
      </c>
      <c r="P29" s="173" t="s">
        <v>83</v>
      </c>
      <c r="Q29" s="173" t="s">
        <v>83</v>
      </c>
      <c r="R29" s="173" t="s">
        <v>83</v>
      </c>
      <c r="S29" s="173" t="s">
        <v>83</v>
      </c>
      <c r="T29" s="173" t="s">
        <v>83</v>
      </c>
      <c r="U29" s="173" t="s">
        <v>83</v>
      </c>
      <c r="V29" s="173" t="s">
        <v>83</v>
      </c>
      <c r="W29" s="173" t="s">
        <v>83</v>
      </c>
      <c r="X29" s="173" t="s">
        <v>83</v>
      </c>
      <c r="Y29" s="173" t="s">
        <v>83</v>
      </c>
      <c r="Z29" s="173" t="s">
        <v>83</v>
      </c>
      <c r="AA29" s="173" t="s">
        <v>83</v>
      </c>
      <c r="AB29" s="173" t="s">
        <v>83</v>
      </c>
      <c r="AC29" s="173" t="s">
        <v>83</v>
      </c>
      <c r="AD29" s="173" t="s">
        <v>83</v>
      </c>
      <c r="AE29" s="173" t="s">
        <v>83</v>
      </c>
      <c r="AF29" s="173" t="s">
        <v>83</v>
      </c>
      <c r="AG29" s="173" t="s">
        <v>83</v>
      </c>
      <c r="AH29" s="173" t="s">
        <v>83</v>
      </c>
      <c r="AI29" s="173" t="s">
        <v>83</v>
      </c>
      <c r="AJ29" s="173" t="s">
        <v>83</v>
      </c>
      <c r="AK29" s="173" t="s">
        <v>83</v>
      </c>
      <c r="AL29" s="141"/>
      <c r="AM29" s="188"/>
      <c r="AN29" s="188"/>
      <c r="AO29" s="188"/>
      <c r="AP29" s="188"/>
      <c r="AQ29" s="188"/>
      <c r="AR29" s="188"/>
      <c r="AS29" s="188"/>
      <c r="AT29" s="188"/>
      <c r="AU29" s="188"/>
      <c r="AV29" s="188"/>
      <c r="AW29" s="188"/>
      <c r="AX29" s="188"/>
      <c r="AY29" s="188"/>
      <c r="AZ29" s="188"/>
      <c r="BA29" s="188"/>
      <c r="BB29" s="188"/>
      <c r="BC29" s="188"/>
      <c r="BD29" s="188"/>
      <c r="BE29" s="188"/>
      <c r="BF29" s="188"/>
      <c r="BG29" s="188"/>
      <c r="BH29" s="188"/>
      <c r="BI29" s="188"/>
      <c r="BJ29" s="188"/>
      <c r="BK29" s="188"/>
      <c r="BL29" s="188"/>
      <c r="BM29" s="188"/>
      <c r="BN29" s="188"/>
      <c r="BO29" s="188"/>
      <c r="BP29" s="188"/>
    </row>
    <row r="30" spans="2:68" x14ac:dyDescent="0.15">
      <c r="B30" s="170">
        <v>4785</v>
      </c>
      <c r="C30" s="170" t="s">
        <v>175</v>
      </c>
      <c r="D30" s="170" t="s">
        <v>123</v>
      </c>
      <c r="E30" s="170" t="s">
        <v>153</v>
      </c>
      <c r="F30" s="170" t="s">
        <v>134</v>
      </c>
      <c r="G30" s="170" t="s">
        <v>176</v>
      </c>
      <c r="H30" s="170">
        <v>30</v>
      </c>
      <c r="I30" s="169"/>
      <c r="J30" s="170"/>
      <c r="K30" s="171"/>
      <c r="L30" s="171"/>
      <c r="M30" s="171"/>
      <c r="N30" s="171"/>
      <c r="O30" s="171"/>
      <c r="P30" s="171"/>
      <c r="Q30" s="171"/>
      <c r="R30" s="171"/>
      <c r="S30" s="171"/>
      <c r="T30" s="171"/>
      <c r="U30" s="171"/>
      <c r="V30" s="171"/>
      <c r="W30" s="171"/>
      <c r="X30" s="171"/>
      <c r="Y30" s="171"/>
      <c r="Z30" s="171"/>
      <c r="AA30" s="171"/>
      <c r="AB30" s="171"/>
      <c r="AC30" s="171"/>
      <c r="AD30" s="171"/>
      <c r="AE30" s="171"/>
      <c r="AF30" s="171"/>
      <c r="AG30" s="171"/>
      <c r="AH30" s="171"/>
      <c r="AI30" s="171"/>
      <c r="AJ30" s="171"/>
      <c r="AK30" s="171"/>
      <c r="AL30" s="141"/>
      <c r="AM30" s="188"/>
      <c r="AN30" s="188"/>
      <c r="AO30" s="188"/>
      <c r="AP30" s="188"/>
      <c r="AQ30" s="188"/>
      <c r="AR30" s="188"/>
      <c r="AS30" s="188"/>
      <c r="AT30" s="188"/>
      <c r="AU30" s="188"/>
      <c r="AV30" s="188"/>
      <c r="AW30" s="188"/>
      <c r="AX30" s="188"/>
      <c r="AY30" s="188"/>
      <c r="AZ30" s="188"/>
      <c r="BA30" s="188"/>
      <c r="BB30" s="188"/>
      <c r="BC30" s="188"/>
      <c r="BD30" s="188"/>
      <c r="BE30" s="188"/>
      <c r="BF30" s="188"/>
      <c r="BG30" s="188"/>
      <c r="BH30" s="188"/>
      <c r="BI30" s="188"/>
      <c r="BJ30" s="188"/>
      <c r="BK30" s="188"/>
      <c r="BL30" s="188"/>
      <c r="BM30" s="188"/>
      <c r="BN30" s="188"/>
      <c r="BO30" s="188"/>
      <c r="BP30" s="188"/>
    </row>
    <row r="31" spans="2:68" x14ac:dyDescent="0.15">
      <c r="B31" s="174"/>
      <c r="C31" s="174"/>
      <c r="D31" s="174"/>
      <c r="E31" s="175" t="s">
        <v>114</v>
      </c>
      <c r="F31" s="176"/>
      <c r="G31" s="177">
        <v>23</v>
      </c>
      <c r="H31" s="178">
        <v>3232</v>
      </c>
      <c r="I31" s="174"/>
      <c r="J31" s="179" t="s">
        <v>115</v>
      </c>
      <c r="K31" s="174" t="s">
        <v>116</v>
      </c>
      <c r="L31" s="174"/>
      <c r="M31" s="174"/>
      <c r="N31" s="174"/>
      <c r="O31" s="174"/>
      <c r="P31" s="174"/>
      <c r="Q31" s="174"/>
      <c r="R31" s="174"/>
      <c r="S31" s="174"/>
      <c r="T31" s="174"/>
      <c r="U31" s="174"/>
      <c r="V31" s="174"/>
      <c r="W31" s="174"/>
      <c r="X31" s="174"/>
      <c r="Y31" s="174"/>
      <c r="Z31" s="174"/>
      <c r="AA31" s="174"/>
      <c r="AB31" s="174"/>
      <c r="AC31" s="174"/>
      <c r="AD31" s="174"/>
      <c r="AE31" s="174"/>
      <c r="AF31" s="174"/>
      <c r="AG31" s="174"/>
      <c r="AH31" s="174"/>
      <c r="AI31" s="174"/>
      <c r="AJ31" s="174"/>
      <c r="AK31" s="180"/>
      <c r="AM31" s="188"/>
      <c r="AN31" s="188"/>
      <c r="AO31" s="188"/>
      <c r="AP31" s="188"/>
      <c r="AQ31" s="188"/>
      <c r="AR31" s="188"/>
      <c r="AS31" s="188"/>
      <c r="AT31" s="188"/>
      <c r="AU31" s="188"/>
      <c r="AV31" s="188"/>
      <c r="AW31" s="188"/>
      <c r="AX31" s="188"/>
      <c r="AY31" s="188"/>
      <c r="AZ31" s="188"/>
      <c r="BA31" s="188"/>
      <c r="BB31" s="188"/>
      <c r="BC31" s="188"/>
      <c r="BD31" s="188"/>
      <c r="BE31" s="188"/>
      <c r="BF31" s="188"/>
      <c r="BG31" s="188"/>
      <c r="BH31" s="188"/>
      <c r="BI31" s="188"/>
      <c r="BJ31" s="188"/>
      <c r="BK31" s="188"/>
      <c r="BL31" s="188"/>
      <c r="BM31" s="188"/>
      <c r="BN31" s="188"/>
      <c r="BO31" s="188"/>
      <c r="BP31" s="188"/>
    </row>
    <row r="32" spans="2:68" x14ac:dyDescent="0.15">
      <c r="J32" s="141" t="s">
        <v>88</v>
      </c>
      <c r="K32" t="s">
        <v>117</v>
      </c>
      <c r="AK32" s="182"/>
      <c r="AM32" s="188"/>
      <c r="AN32" s="188"/>
      <c r="AO32" s="188"/>
      <c r="AP32" s="188"/>
      <c r="AQ32" s="188"/>
      <c r="AR32" s="188"/>
      <c r="AS32" s="188"/>
      <c r="AT32" s="188"/>
      <c r="AU32" s="188"/>
      <c r="AV32" s="188"/>
      <c r="AW32" s="188"/>
      <c r="AX32" s="188"/>
      <c r="AY32" s="188"/>
      <c r="AZ32" s="188"/>
      <c r="BA32" s="188"/>
      <c r="BB32" s="188"/>
      <c r="BC32" s="188"/>
      <c r="BD32" s="188"/>
      <c r="BE32" s="188"/>
      <c r="BF32" s="188"/>
      <c r="BG32" s="188"/>
      <c r="BH32" s="188"/>
      <c r="BI32" s="188"/>
      <c r="BJ32" s="188"/>
      <c r="BK32" s="188"/>
      <c r="BL32" s="188"/>
      <c r="BM32" s="188"/>
      <c r="BN32" s="188"/>
      <c r="BO32" s="188"/>
      <c r="BP32" s="188"/>
    </row>
    <row r="33" spans="1:68" x14ac:dyDescent="0.15">
      <c r="J33" s="141" t="s">
        <v>83</v>
      </c>
      <c r="K33" t="s">
        <v>118</v>
      </c>
      <c r="AK33" s="182"/>
      <c r="AM33" s="188"/>
      <c r="AN33" s="188"/>
      <c r="AO33" s="188"/>
      <c r="AP33" s="188"/>
      <c r="AQ33" s="188"/>
      <c r="AR33" s="188"/>
      <c r="AS33" s="188"/>
      <c r="AT33" s="188"/>
      <c r="AU33" s="188"/>
      <c r="AV33" s="188"/>
      <c r="AW33" s="188"/>
      <c r="AX33" s="188"/>
      <c r="AY33" s="188"/>
      <c r="AZ33" s="188"/>
      <c r="BA33" s="188"/>
      <c r="BB33" s="188"/>
      <c r="BC33" s="188"/>
      <c r="BD33" s="188"/>
      <c r="BE33" s="188"/>
      <c r="BF33" s="188"/>
      <c r="BG33" s="188"/>
      <c r="BH33" s="188"/>
      <c r="BI33" s="188"/>
      <c r="BJ33" s="188"/>
      <c r="BK33" s="188"/>
      <c r="BL33" s="188"/>
      <c r="BM33" s="188"/>
      <c r="BN33" s="188"/>
      <c r="BO33" s="188"/>
      <c r="BP33" s="188"/>
    </row>
    <row r="34" spans="1:68" x14ac:dyDescent="0.15">
      <c r="J34" s="141" t="s">
        <v>119</v>
      </c>
      <c r="AK34" s="182"/>
      <c r="AM34" s="188"/>
      <c r="AN34" s="188"/>
      <c r="AO34" s="188"/>
      <c r="AP34" s="188"/>
      <c r="AQ34" s="188"/>
      <c r="AR34" s="188"/>
      <c r="AS34" s="188"/>
      <c r="AT34" s="188"/>
      <c r="AU34" s="188"/>
      <c r="AV34" s="188"/>
      <c r="AW34" s="188"/>
      <c r="AX34" s="188"/>
      <c r="AY34" s="188"/>
      <c r="AZ34" s="188"/>
      <c r="BA34" s="188"/>
      <c r="BB34" s="188"/>
      <c r="BC34" s="188"/>
      <c r="BD34" s="188"/>
      <c r="BE34" s="188"/>
      <c r="BF34" s="188"/>
      <c r="BG34" s="188"/>
      <c r="BH34" s="188"/>
      <c r="BI34" s="188"/>
      <c r="BJ34" s="188"/>
      <c r="BK34" s="188"/>
      <c r="BL34" s="188"/>
      <c r="BM34" s="188"/>
      <c r="BN34" s="188"/>
      <c r="BO34" s="188"/>
      <c r="BP34" s="188"/>
    </row>
    <row r="35" spans="1:68" x14ac:dyDescent="0.15">
      <c r="J35" s="183" t="s">
        <v>87</v>
      </c>
      <c r="K35" s="181" t="s">
        <v>120</v>
      </c>
      <c r="L35" s="184"/>
      <c r="M35" s="184"/>
      <c r="N35" s="184"/>
      <c r="O35" s="184"/>
      <c r="P35" s="184"/>
      <c r="Q35" s="184"/>
      <c r="R35" s="184"/>
      <c r="S35" s="184"/>
      <c r="T35" s="184"/>
      <c r="U35" s="184"/>
      <c r="V35" s="184"/>
      <c r="W35" s="184"/>
      <c r="X35" s="184"/>
      <c r="Y35" s="184"/>
      <c r="Z35" s="184"/>
      <c r="AA35" s="184"/>
      <c r="AB35" s="184"/>
      <c r="AC35" s="184"/>
      <c r="AD35" s="184"/>
      <c r="AE35" s="184"/>
      <c r="AF35" s="184"/>
      <c r="AG35" s="184"/>
      <c r="AH35" s="184"/>
      <c r="AI35" s="184"/>
      <c r="AJ35" s="184"/>
      <c r="AK35" s="185"/>
      <c r="AM35" s="188"/>
      <c r="AN35" s="188"/>
      <c r="AO35" s="188"/>
      <c r="AP35" s="188"/>
      <c r="AQ35" s="188"/>
      <c r="AR35" s="188"/>
      <c r="AS35" s="188"/>
      <c r="AT35" s="188"/>
      <c r="AU35" s="188"/>
      <c r="AV35" s="188"/>
      <c r="AW35" s="188"/>
      <c r="AX35" s="188"/>
      <c r="AY35" s="188"/>
      <c r="AZ35" s="188"/>
      <c r="BA35" s="188"/>
      <c r="BB35" s="188"/>
      <c r="BC35" s="188"/>
      <c r="BD35" s="188"/>
      <c r="BE35" s="188"/>
      <c r="BF35" s="188"/>
      <c r="BG35" s="188"/>
      <c r="BH35" s="188"/>
      <c r="BI35" s="188"/>
      <c r="BJ35" s="188"/>
      <c r="BK35" s="188"/>
      <c r="BL35" s="188"/>
      <c r="BM35" s="188"/>
      <c r="BN35" s="188"/>
      <c r="BO35" s="188"/>
      <c r="BP35" s="188"/>
    </row>
    <row r="36" spans="1:68" x14ac:dyDescent="0.15">
      <c r="B36" s="190" t="s">
        <v>59</v>
      </c>
      <c r="AJ36" s="186"/>
      <c r="AM36" s="188"/>
      <c r="AN36" s="188"/>
      <c r="AO36" s="188"/>
      <c r="AP36" s="188"/>
      <c r="AQ36" s="188"/>
      <c r="AR36" s="188"/>
      <c r="AS36" s="188"/>
      <c r="AT36" s="188"/>
      <c r="AU36" s="188"/>
      <c r="AV36" s="188"/>
      <c r="AW36" s="188"/>
      <c r="AX36" s="188"/>
      <c r="AY36" s="188"/>
      <c r="AZ36" s="188"/>
      <c r="BA36" s="188"/>
      <c r="BB36" s="188"/>
      <c r="BC36" s="188"/>
      <c r="BD36" s="188"/>
      <c r="BE36" s="188"/>
      <c r="BF36" s="188"/>
      <c r="BG36" s="188"/>
      <c r="BH36" s="188"/>
      <c r="BI36" s="188"/>
      <c r="BJ36" s="188"/>
      <c r="BK36" s="188"/>
      <c r="BL36" s="188"/>
      <c r="BM36" s="188"/>
      <c r="BN36" s="188"/>
      <c r="BO36" s="188"/>
      <c r="BP36" s="188"/>
    </row>
    <row r="37" spans="1:68" x14ac:dyDescent="0.15">
      <c r="A37" s="160"/>
      <c r="B37" s="201" t="s">
        <v>10</v>
      </c>
      <c r="C37" s="202"/>
      <c r="D37" s="202"/>
      <c r="E37" s="202"/>
      <c r="F37" s="202"/>
      <c r="G37" s="202"/>
      <c r="H37" s="202"/>
      <c r="I37" s="202"/>
      <c r="J37" s="202"/>
      <c r="K37" s="202"/>
      <c r="L37" s="202"/>
      <c r="M37" s="202"/>
      <c r="N37" s="202"/>
      <c r="O37" s="202"/>
      <c r="P37" s="202"/>
      <c r="Q37" s="202"/>
      <c r="R37" s="202"/>
      <c r="S37" s="202"/>
      <c r="T37" s="202"/>
      <c r="U37" s="202"/>
      <c r="V37" s="202"/>
      <c r="W37" s="202"/>
      <c r="X37" s="202"/>
      <c r="Y37" s="202"/>
      <c r="Z37" s="202"/>
      <c r="AA37" s="202"/>
      <c r="AB37" s="202"/>
      <c r="AC37" s="202"/>
      <c r="AD37" s="202"/>
      <c r="AE37" s="202"/>
      <c r="AF37" s="202"/>
      <c r="AG37" s="202"/>
      <c r="AH37" s="202"/>
      <c r="AI37" s="202"/>
      <c r="AJ37" s="202"/>
      <c r="AK37" s="202"/>
      <c r="AL37" s="202"/>
      <c r="AM37" s="188"/>
      <c r="AN37" s="188"/>
      <c r="AO37" s="188"/>
      <c r="AP37" s="188"/>
      <c r="AQ37" s="188"/>
      <c r="AR37" s="188"/>
      <c r="AS37" s="188"/>
      <c r="AT37" s="188"/>
      <c r="AU37" s="188"/>
      <c r="AV37" s="188"/>
      <c r="AW37" s="188"/>
      <c r="AX37" s="188"/>
      <c r="AY37" s="188"/>
      <c r="AZ37" s="188"/>
      <c r="BA37" s="188"/>
      <c r="BB37" s="188"/>
      <c r="BC37" s="188"/>
      <c r="BD37" s="188"/>
      <c r="BE37" s="188"/>
      <c r="BF37" s="188"/>
      <c r="BG37" s="188"/>
      <c r="BH37" s="188"/>
      <c r="BI37" s="188"/>
      <c r="BJ37" s="188"/>
      <c r="BK37" s="188"/>
      <c r="BL37" s="188"/>
      <c r="BM37" s="188"/>
      <c r="BN37" s="188"/>
      <c r="BO37" s="188"/>
      <c r="BP37" s="188"/>
    </row>
    <row r="38" spans="1:68" x14ac:dyDescent="0.15">
      <c r="A38" s="160"/>
      <c r="B38" s="217"/>
      <c r="C38" s="217"/>
      <c r="D38" s="217"/>
      <c r="E38" s="217"/>
      <c r="F38" s="217"/>
      <c r="G38" s="217"/>
      <c r="H38" s="217"/>
      <c r="I38" s="217"/>
      <c r="J38" s="217"/>
      <c r="K38" s="217"/>
      <c r="L38" s="217"/>
      <c r="M38" s="217"/>
      <c r="N38" s="217"/>
      <c r="O38" s="217"/>
      <c r="P38" s="217"/>
      <c r="Q38" s="217"/>
      <c r="R38" s="217"/>
      <c r="S38" s="217"/>
      <c r="T38" s="217"/>
      <c r="U38" s="217"/>
      <c r="V38" s="217"/>
      <c r="W38" s="217"/>
      <c r="X38" s="217"/>
      <c r="Y38" s="217"/>
      <c r="Z38" s="217"/>
      <c r="AA38" s="217"/>
      <c r="AB38" s="217"/>
      <c r="AC38" s="217"/>
      <c r="AD38" s="217"/>
      <c r="AE38" s="217"/>
      <c r="AF38" s="217"/>
      <c r="AG38" s="217"/>
      <c r="AH38" s="217"/>
      <c r="AI38" s="217"/>
      <c r="AJ38" s="217"/>
      <c r="AK38" s="217"/>
      <c r="AL38" s="217"/>
      <c r="AM38" s="188"/>
      <c r="AN38" s="188"/>
      <c r="AO38" s="188"/>
      <c r="AP38" s="188"/>
      <c r="AQ38" s="188"/>
      <c r="AR38" s="188"/>
      <c r="AS38" s="188"/>
      <c r="AT38" s="188"/>
      <c r="AU38" s="188"/>
      <c r="AV38" s="188"/>
      <c r="AW38" s="188"/>
      <c r="AX38" s="188"/>
      <c r="AY38" s="188"/>
      <c r="AZ38" s="188"/>
      <c r="BA38" s="188"/>
      <c r="BB38" s="188"/>
      <c r="BC38" s="188"/>
      <c r="BD38" s="188"/>
      <c r="BE38" s="188"/>
      <c r="BF38" s="188"/>
      <c r="BG38" s="188"/>
      <c r="BH38" s="188"/>
      <c r="BI38" s="188"/>
      <c r="BJ38" s="188"/>
      <c r="BK38" s="188"/>
      <c r="BL38" s="188"/>
      <c r="BM38" s="188"/>
      <c r="BN38" s="188"/>
      <c r="BO38" s="188"/>
      <c r="BP38" s="188"/>
    </row>
    <row r="39" spans="1:68" x14ac:dyDescent="0.15">
      <c r="A39" s="160"/>
      <c r="B39" s="217"/>
      <c r="C39" s="217"/>
      <c r="D39" s="217"/>
      <c r="E39" s="217"/>
      <c r="F39" s="217"/>
      <c r="G39" s="217"/>
      <c r="H39" s="217"/>
      <c r="I39" s="217"/>
      <c r="J39" s="217"/>
      <c r="K39" s="217"/>
      <c r="L39" s="217"/>
      <c r="M39" s="217"/>
      <c r="N39" s="217"/>
      <c r="O39" s="217"/>
      <c r="P39" s="217"/>
      <c r="Q39" s="217"/>
      <c r="R39" s="217"/>
      <c r="S39" s="217"/>
      <c r="T39" s="217"/>
      <c r="U39" s="217"/>
      <c r="V39" s="217"/>
      <c r="W39" s="217"/>
      <c r="X39" s="217"/>
      <c r="Y39" s="217"/>
      <c r="Z39" s="217"/>
      <c r="AA39" s="217"/>
      <c r="AB39" s="217"/>
      <c r="AC39" s="217"/>
      <c r="AD39" s="217"/>
      <c r="AE39" s="217"/>
      <c r="AF39" s="217"/>
      <c r="AG39" s="217"/>
      <c r="AH39" s="217"/>
      <c r="AI39" s="217"/>
      <c r="AJ39" s="217"/>
      <c r="AK39" s="217"/>
      <c r="AL39" s="217"/>
      <c r="AM39" s="188"/>
      <c r="AN39" s="188"/>
      <c r="AO39" s="188"/>
      <c r="AP39" s="188"/>
      <c r="AQ39" s="188"/>
      <c r="AR39" s="188"/>
      <c r="AS39" s="188"/>
      <c r="AT39" s="188"/>
      <c r="AU39" s="188"/>
      <c r="AV39" s="188"/>
      <c r="AW39" s="188"/>
      <c r="AX39" s="188"/>
      <c r="AY39" s="188"/>
      <c r="AZ39" s="188"/>
      <c r="BA39" s="188"/>
      <c r="BB39" s="188"/>
      <c r="BC39" s="188"/>
      <c r="BD39" s="188"/>
      <c r="BE39" s="188"/>
      <c r="BF39" s="188"/>
      <c r="BG39" s="188"/>
      <c r="BH39" s="188"/>
      <c r="BI39" s="188"/>
      <c r="BJ39" s="188"/>
      <c r="BK39" s="188"/>
      <c r="BL39" s="188"/>
      <c r="BM39" s="188"/>
      <c r="BN39" s="188"/>
      <c r="BO39" s="188"/>
      <c r="BP39" s="188"/>
    </row>
    <row r="40" spans="1:68" x14ac:dyDescent="0.15">
      <c r="A40" s="188"/>
      <c r="B40" s="188"/>
      <c r="C40" s="188"/>
      <c r="D40" s="188"/>
      <c r="E40" s="188"/>
      <c r="F40" s="188"/>
      <c r="G40" s="188"/>
      <c r="H40" s="188"/>
      <c r="I40" s="188"/>
      <c r="J40" s="188"/>
      <c r="K40" s="188"/>
      <c r="L40" s="188"/>
      <c r="M40" s="188"/>
      <c r="N40" s="188"/>
      <c r="O40" s="188"/>
      <c r="P40" s="188"/>
      <c r="Q40" s="188"/>
      <c r="R40" s="188"/>
      <c r="S40" s="188"/>
      <c r="T40" s="188"/>
      <c r="U40" s="188"/>
      <c r="V40" s="188"/>
      <c r="W40" s="188"/>
      <c r="X40" s="188"/>
      <c r="Y40" s="188"/>
      <c r="Z40" s="188"/>
      <c r="AA40" s="188"/>
      <c r="AB40" s="188"/>
      <c r="AC40" s="188"/>
      <c r="AD40" s="188"/>
      <c r="AE40" s="188"/>
      <c r="AF40" s="188"/>
      <c r="AG40" s="188"/>
      <c r="AH40" s="188"/>
      <c r="AI40" s="188"/>
      <c r="AJ40" s="188"/>
      <c r="AK40" s="188"/>
      <c r="AL40" s="188"/>
      <c r="AM40" s="188"/>
      <c r="AN40" s="188"/>
      <c r="AO40" s="188"/>
      <c r="AP40" s="188"/>
      <c r="AQ40" s="188"/>
      <c r="AR40" s="188"/>
      <c r="AS40" s="188"/>
      <c r="AT40" s="188"/>
      <c r="AU40" s="188"/>
      <c r="AV40" s="188"/>
      <c r="AW40" s="188"/>
      <c r="AX40" s="188"/>
      <c r="AY40" s="188"/>
      <c r="AZ40" s="188"/>
      <c r="BA40" s="188"/>
      <c r="BB40" s="188"/>
      <c r="BC40" s="188"/>
      <c r="BD40" s="188"/>
      <c r="BE40" s="188"/>
      <c r="BF40" s="188"/>
      <c r="BG40" s="188"/>
      <c r="BH40" s="188"/>
      <c r="BI40" s="188"/>
      <c r="BJ40" s="188"/>
      <c r="BK40" s="188"/>
      <c r="BL40" s="188"/>
      <c r="BM40" s="188"/>
      <c r="BN40" s="188"/>
      <c r="BO40" s="188"/>
      <c r="BP40" s="188"/>
    </row>
    <row r="41" spans="1:68" x14ac:dyDescent="0.15">
      <c r="A41" s="188"/>
      <c r="B41" s="188"/>
      <c r="C41" s="188"/>
      <c r="D41" s="188"/>
      <c r="E41" s="188"/>
      <c r="F41" s="188"/>
      <c r="G41" s="188"/>
      <c r="H41" s="188"/>
      <c r="I41" s="188"/>
      <c r="J41" s="188"/>
      <c r="K41" s="188"/>
      <c r="L41" s="188"/>
      <c r="M41" s="188"/>
      <c r="N41" s="188"/>
      <c r="O41" s="188"/>
      <c r="P41" s="188"/>
      <c r="Q41" s="188"/>
      <c r="R41" s="188"/>
      <c r="S41" s="188"/>
      <c r="T41" s="188"/>
      <c r="U41" s="188"/>
      <c r="V41" s="188"/>
      <c r="W41" s="188"/>
      <c r="X41" s="188"/>
      <c r="Y41" s="188"/>
      <c r="Z41" s="188"/>
      <c r="AA41" s="188"/>
      <c r="AB41" s="188"/>
      <c r="AC41" s="188"/>
      <c r="AD41" s="188"/>
      <c r="AE41" s="188"/>
      <c r="AF41" s="188"/>
      <c r="AG41" s="188"/>
      <c r="AH41" s="188"/>
      <c r="AI41" s="188"/>
      <c r="AJ41" s="188"/>
      <c r="AK41" s="188"/>
      <c r="AL41" s="188"/>
      <c r="AM41" s="188"/>
      <c r="AN41" s="188"/>
      <c r="AO41" s="188"/>
      <c r="AP41" s="188"/>
      <c r="AQ41" s="188"/>
      <c r="AR41" s="188"/>
      <c r="AS41" s="188"/>
      <c r="AT41" s="188"/>
      <c r="AU41" s="188"/>
      <c r="AV41" s="188"/>
      <c r="AW41" s="188"/>
      <c r="AX41" s="188"/>
      <c r="AY41" s="188"/>
      <c r="AZ41" s="188"/>
      <c r="BA41" s="188"/>
      <c r="BB41" s="188"/>
      <c r="BC41" s="188"/>
      <c r="BD41" s="188"/>
      <c r="BE41" s="188"/>
      <c r="BF41" s="188"/>
      <c r="BG41" s="188"/>
      <c r="BH41" s="188"/>
      <c r="BI41" s="188"/>
      <c r="BJ41" s="188"/>
      <c r="BK41" s="188"/>
      <c r="BL41" s="188"/>
      <c r="BM41" s="188"/>
      <c r="BN41" s="188"/>
      <c r="BO41" s="188"/>
      <c r="BP41" s="188"/>
    </row>
    <row r="42" spans="1:68" x14ac:dyDescent="0.15">
      <c r="A42" s="188"/>
      <c r="B42" s="188"/>
      <c r="C42" s="188"/>
      <c r="D42" s="188"/>
      <c r="E42" s="188"/>
      <c r="F42" s="188"/>
      <c r="G42" s="188"/>
      <c r="H42" s="188"/>
      <c r="I42" s="188"/>
      <c r="J42" s="188"/>
      <c r="K42" s="188"/>
      <c r="L42" s="188"/>
      <c r="M42" s="188"/>
      <c r="N42" s="188"/>
      <c r="O42" s="188"/>
      <c r="P42" s="188"/>
      <c r="Q42" s="188"/>
      <c r="R42" s="188"/>
      <c r="S42" s="188"/>
      <c r="T42" s="188"/>
      <c r="U42" s="188"/>
      <c r="V42" s="188"/>
      <c r="W42" s="188"/>
      <c r="X42" s="188"/>
      <c r="Y42" s="188"/>
      <c r="Z42" s="188"/>
      <c r="AA42" s="188"/>
      <c r="AB42" s="188"/>
      <c r="AC42" s="188"/>
      <c r="AD42" s="188"/>
      <c r="AE42" s="188"/>
      <c r="AF42" s="188"/>
      <c r="AG42" s="188"/>
      <c r="AH42" s="188"/>
      <c r="AI42" s="188"/>
      <c r="AJ42" s="188"/>
      <c r="AK42" s="188"/>
      <c r="AL42" s="188"/>
      <c r="AM42" s="188"/>
      <c r="AN42" s="188"/>
      <c r="AO42" s="188"/>
      <c r="AP42" s="188"/>
      <c r="AQ42" s="188"/>
      <c r="AR42" s="188"/>
      <c r="AS42" s="188"/>
      <c r="AT42" s="188"/>
      <c r="AU42" s="188"/>
      <c r="AV42" s="188"/>
      <c r="AW42" s="188"/>
      <c r="AX42" s="188"/>
      <c r="AY42" s="188"/>
      <c r="AZ42" s="188"/>
      <c r="BA42" s="188"/>
      <c r="BB42" s="188"/>
      <c r="BC42" s="188"/>
      <c r="BD42" s="188"/>
      <c r="BE42" s="188"/>
      <c r="BF42" s="188"/>
      <c r="BG42" s="188"/>
      <c r="BH42" s="188"/>
      <c r="BI42" s="188"/>
      <c r="BJ42" s="188"/>
      <c r="BK42" s="188"/>
      <c r="BL42" s="188"/>
      <c r="BM42" s="188"/>
      <c r="BN42" s="188"/>
      <c r="BO42" s="188"/>
      <c r="BP42" s="188"/>
    </row>
    <row r="43" spans="1:68" x14ac:dyDescent="0.15">
      <c r="A43" s="188"/>
      <c r="B43" s="188"/>
      <c r="C43" s="188"/>
      <c r="D43" s="188"/>
      <c r="E43" s="188"/>
      <c r="F43" s="188"/>
      <c r="G43" s="188"/>
      <c r="H43" s="188"/>
      <c r="I43" s="188"/>
      <c r="J43" s="188"/>
      <c r="K43" s="188"/>
      <c r="L43" s="188"/>
      <c r="M43" s="188"/>
      <c r="N43" s="188"/>
      <c r="O43" s="188"/>
      <c r="P43" s="188"/>
      <c r="Q43" s="188"/>
      <c r="R43" s="188"/>
      <c r="S43" s="188"/>
      <c r="T43" s="188"/>
      <c r="U43" s="188"/>
      <c r="V43" s="188"/>
      <c r="W43" s="188"/>
      <c r="X43" s="188"/>
      <c r="Y43" s="188"/>
      <c r="Z43" s="188"/>
      <c r="AA43" s="188"/>
      <c r="AB43" s="188"/>
      <c r="AC43" s="188"/>
      <c r="AD43" s="188"/>
      <c r="AE43" s="188"/>
      <c r="AF43" s="188"/>
      <c r="AG43" s="188"/>
      <c r="AH43" s="188"/>
      <c r="AI43" s="188"/>
      <c r="AJ43" s="188"/>
      <c r="AK43" s="188"/>
      <c r="AL43" s="188"/>
      <c r="AM43" s="188"/>
      <c r="AN43" s="188"/>
      <c r="AO43" s="188"/>
      <c r="AP43" s="188"/>
      <c r="AQ43" s="188"/>
      <c r="AR43" s="188"/>
      <c r="AS43" s="188"/>
      <c r="AT43" s="188"/>
      <c r="AU43" s="188"/>
      <c r="AV43" s="188"/>
      <c r="AW43" s="188"/>
      <c r="AX43" s="188"/>
      <c r="AY43" s="188"/>
      <c r="AZ43" s="188"/>
      <c r="BA43" s="188"/>
      <c r="BB43" s="188"/>
      <c r="BC43" s="188"/>
      <c r="BD43" s="188"/>
      <c r="BE43" s="188"/>
      <c r="BF43" s="188"/>
      <c r="BG43" s="188"/>
      <c r="BH43" s="188"/>
      <c r="BI43" s="188"/>
      <c r="BJ43" s="188"/>
      <c r="BK43" s="188"/>
      <c r="BL43" s="188"/>
      <c r="BM43" s="188"/>
      <c r="BN43" s="188"/>
      <c r="BO43" s="188"/>
      <c r="BP43" s="188"/>
    </row>
    <row r="44" spans="1:68" x14ac:dyDescent="0.15">
      <c r="A44" s="188"/>
      <c r="B44" s="188"/>
      <c r="C44" s="188"/>
      <c r="D44" s="188"/>
      <c r="E44" s="188"/>
      <c r="F44" s="188"/>
      <c r="G44" s="188"/>
      <c r="H44" s="188"/>
      <c r="I44" s="188"/>
      <c r="J44" s="188"/>
      <c r="K44" s="188"/>
      <c r="L44" s="188"/>
      <c r="M44" s="188"/>
      <c r="N44" s="188"/>
      <c r="O44" s="188"/>
      <c r="P44" s="188"/>
      <c r="Q44" s="188"/>
      <c r="R44" s="188"/>
      <c r="S44" s="188"/>
      <c r="T44" s="188"/>
      <c r="U44" s="188"/>
      <c r="V44" s="188"/>
      <c r="W44" s="188"/>
      <c r="X44" s="188"/>
      <c r="Y44" s="188"/>
      <c r="Z44" s="188"/>
      <c r="AA44" s="188"/>
      <c r="AB44" s="188"/>
      <c r="AC44" s="188"/>
      <c r="AD44" s="188"/>
      <c r="AE44" s="188"/>
      <c r="AF44" s="188"/>
      <c r="AG44" s="188"/>
      <c r="AH44" s="188"/>
      <c r="AI44" s="188"/>
      <c r="AJ44" s="188"/>
      <c r="AK44" s="188"/>
      <c r="AL44" s="188"/>
      <c r="AM44" s="188"/>
      <c r="AN44" s="188"/>
      <c r="AO44" s="188"/>
      <c r="AP44" s="188"/>
      <c r="AQ44" s="188"/>
      <c r="AR44" s="188"/>
      <c r="AS44" s="188"/>
      <c r="AT44" s="188"/>
      <c r="AU44" s="188"/>
      <c r="AV44" s="188"/>
      <c r="AW44" s="188"/>
      <c r="AX44" s="188"/>
      <c r="AY44" s="188"/>
      <c r="AZ44" s="188"/>
      <c r="BA44" s="188"/>
      <c r="BB44" s="188"/>
      <c r="BC44" s="188"/>
      <c r="BD44" s="188"/>
      <c r="BE44" s="188"/>
      <c r="BF44" s="188"/>
      <c r="BG44" s="188"/>
      <c r="BH44" s="188"/>
      <c r="BI44" s="188"/>
      <c r="BJ44" s="188"/>
      <c r="BK44" s="188"/>
      <c r="BL44" s="188"/>
      <c r="BM44" s="188"/>
      <c r="BN44" s="188"/>
      <c r="BO44" s="188"/>
      <c r="BP44" s="188"/>
    </row>
    <row r="45" spans="1:68" x14ac:dyDescent="0.15">
      <c r="A45" s="188"/>
      <c r="B45" s="188"/>
      <c r="C45" s="188"/>
      <c r="D45" s="188"/>
      <c r="E45" s="188"/>
      <c r="F45" s="188"/>
      <c r="G45" s="188"/>
      <c r="H45" s="188"/>
      <c r="I45" s="188"/>
      <c r="J45" s="188"/>
      <c r="K45" s="188"/>
      <c r="L45" s="188"/>
      <c r="M45" s="188"/>
      <c r="N45" s="188"/>
      <c r="O45" s="188"/>
      <c r="P45" s="188"/>
      <c r="Q45" s="188"/>
      <c r="R45" s="188"/>
      <c r="S45" s="188"/>
      <c r="T45" s="188"/>
      <c r="U45" s="188"/>
      <c r="V45" s="188"/>
      <c r="W45" s="188"/>
      <c r="X45" s="188"/>
      <c r="Y45" s="188"/>
      <c r="Z45" s="188"/>
      <c r="AA45" s="188"/>
      <c r="AB45" s="188"/>
      <c r="AC45" s="188"/>
      <c r="AD45" s="188"/>
      <c r="AE45" s="188"/>
      <c r="AF45" s="188"/>
      <c r="AG45" s="188"/>
      <c r="AH45" s="188"/>
      <c r="AI45" s="188"/>
      <c r="AJ45" s="188"/>
      <c r="AK45" s="188"/>
      <c r="AL45" s="188"/>
      <c r="AM45" s="188"/>
      <c r="AN45" s="188"/>
      <c r="AO45" s="188"/>
      <c r="AP45" s="188"/>
      <c r="AQ45" s="188"/>
      <c r="AR45" s="188"/>
      <c r="AS45" s="188"/>
      <c r="AT45" s="188"/>
      <c r="AU45" s="188"/>
      <c r="AV45" s="188"/>
      <c r="AW45" s="188"/>
      <c r="AX45" s="188"/>
      <c r="AY45" s="188"/>
      <c r="AZ45" s="188"/>
      <c r="BA45" s="188"/>
      <c r="BB45" s="188"/>
      <c r="BC45" s="188"/>
      <c r="BD45" s="188"/>
      <c r="BE45" s="188"/>
      <c r="BF45" s="188"/>
      <c r="BG45" s="188"/>
      <c r="BH45" s="188"/>
      <c r="BI45" s="188"/>
      <c r="BJ45" s="188"/>
      <c r="BK45" s="188"/>
      <c r="BL45" s="188"/>
      <c r="BM45" s="188"/>
      <c r="BN45" s="188"/>
      <c r="BO45" s="188"/>
      <c r="BP45" s="188"/>
    </row>
    <row r="46" spans="1:68" x14ac:dyDescent="0.15">
      <c r="A46" s="188"/>
      <c r="B46" s="188"/>
      <c r="C46" s="188"/>
      <c r="D46" s="188"/>
      <c r="E46" s="188"/>
      <c r="F46" s="188"/>
      <c r="G46" s="188"/>
      <c r="H46" s="188"/>
      <c r="I46" s="188"/>
      <c r="J46" s="188"/>
      <c r="K46" s="188"/>
      <c r="L46" s="188"/>
      <c r="M46" s="188"/>
      <c r="N46" s="188"/>
      <c r="O46" s="188"/>
      <c r="P46" s="188"/>
      <c r="Q46" s="188"/>
      <c r="R46" s="188"/>
      <c r="S46" s="188"/>
      <c r="T46" s="188"/>
      <c r="U46" s="188"/>
      <c r="V46" s="188"/>
      <c r="W46" s="188"/>
      <c r="X46" s="188"/>
      <c r="Y46" s="188"/>
      <c r="Z46" s="188"/>
      <c r="AA46" s="188"/>
      <c r="AB46" s="188"/>
      <c r="AC46" s="188"/>
      <c r="AD46" s="188"/>
      <c r="AE46" s="188"/>
      <c r="AF46" s="188"/>
      <c r="AG46" s="188"/>
      <c r="AH46" s="188"/>
      <c r="AI46" s="188"/>
      <c r="AJ46" s="188"/>
      <c r="AK46" s="188"/>
      <c r="AL46" s="188"/>
      <c r="AM46" s="188"/>
      <c r="AN46" s="188"/>
      <c r="AO46" s="188"/>
      <c r="AP46" s="188"/>
      <c r="AQ46" s="188"/>
      <c r="AR46" s="188"/>
      <c r="AS46" s="188"/>
      <c r="AT46" s="188"/>
      <c r="AU46" s="188"/>
      <c r="AV46" s="188"/>
      <c r="AW46" s="188"/>
      <c r="AX46" s="188"/>
      <c r="AY46" s="188"/>
      <c r="AZ46" s="188"/>
      <c r="BA46" s="188"/>
      <c r="BB46" s="188"/>
      <c r="BC46" s="188"/>
      <c r="BD46" s="188"/>
      <c r="BE46" s="188"/>
      <c r="BF46" s="188"/>
      <c r="BG46" s="188"/>
      <c r="BH46" s="188"/>
      <c r="BI46" s="188"/>
      <c r="BJ46" s="188"/>
      <c r="BK46" s="188"/>
      <c r="BL46" s="188"/>
      <c r="BM46" s="188"/>
      <c r="BN46" s="188"/>
      <c r="BO46" s="188"/>
      <c r="BP46" s="188"/>
    </row>
    <row r="47" spans="1:68" x14ac:dyDescent="0.15">
      <c r="A47" s="188"/>
      <c r="B47" s="188"/>
      <c r="C47" s="188"/>
      <c r="D47" s="188"/>
      <c r="E47" s="188"/>
      <c r="F47" s="188"/>
      <c r="G47" s="188"/>
      <c r="H47" s="188"/>
      <c r="I47" s="188"/>
      <c r="J47" s="188"/>
      <c r="K47" s="188"/>
      <c r="L47" s="188"/>
      <c r="M47" s="188"/>
      <c r="N47" s="188"/>
      <c r="O47" s="188"/>
      <c r="P47" s="188"/>
      <c r="Q47" s="188"/>
      <c r="R47" s="188"/>
      <c r="S47" s="188"/>
      <c r="T47" s="188"/>
      <c r="U47" s="188"/>
      <c r="V47" s="188"/>
      <c r="W47" s="188"/>
      <c r="X47" s="188"/>
      <c r="Y47" s="188"/>
      <c r="Z47" s="188"/>
      <c r="AA47" s="188"/>
      <c r="AB47" s="188"/>
      <c r="AC47" s="188"/>
      <c r="AD47" s="188"/>
      <c r="AE47" s="188"/>
      <c r="AF47" s="188"/>
      <c r="AG47" s="188"/>
      <c r="AH47" s="188"/>
      <c r="AI47" s="188"/>
      <c r="AJ47" s="188"/>
      <c r="AK47" s="188"/>
      <c r="AL47" s="188"/>
      <c r="AM47" s="188"/>
      <c r="AN47" s="188"/>
      <c r="AO47" s="188"/>
      <c r="AP47" s="188"/>
      <c r="AQ47" s="188"/>
      <c r="AR47" s="188"/>
      <c r="AS47" s="188"/>
      <c r="AT47" s="188"/>
      <c r="AU47" s="188"/>
      <c r="AV47" s="188"/>
      <c r="AW47" s="188"/>
      <c r="AX47" s="188"/>
      <c r="AY47" s="188"/>
      <c r="AZ47" s="188"/>
      <c r="BA47" s="188"/>
      <c r="BB47" s="188"/>
      <c r="BC47" s="188"/>
      <c r="BD47" s="188"/>
      <c r="BE47" s="188"/>
      <c r="BF47" s="188"/>
      <c r="BG47" s="188"/>
      <c r="BH47" s="188"/>
      <c r="BI47" s="188"/>
      <c r="BJ47" s="188"/>
      <c r="BK47" s="188"/>
      <c r="BL47" s="188"/>
      <c r="BM47" s="188"/>
      <c r="BN47" s="188"/>
      <c r="BO47" s="188"/>
      <c r="BP47" s="188"/>
    </row>
    <row r="48" spans="1:68" x14ac:dyDescent="0.15">
      <c r="A48" s="188"/>
      <c r="B48" s="188"/>
      <c r="C48" s="188"/>
      <c r="D48" s="188"/>
      <c r="E48" s="188"/>
      <c r="F48" s="188"/>
      <c r="G48" s="188"/>
      <c r="H48" s="188"/>
      <c r="I48" s="188"/>
      <c r="J48" s="188"/>
      <c r="K48" s="188"/>
      <c r="L48" s="188"/>
      <c r="M48" s="188"/>
      <c r="N48" s="188"/>
      <c r="O48" s="188"/>
      <c r="P48" s="188"/>
      <c r="Q48" s="188"/>
      <c r="R48" s="188"/>
      <c r="S48" s="188"/>
      <c r="T48" s="188"/>
      <c r="U48" s="188"/>
      <c r="V48" s="188"/>
      <c r="W48" s="188"/>
      <c r="X48" s="188"/>
      <c r="Y48" s="188"/>
      <c r="Z48" s="188"/>
      <c r="AA48" s="188"/>
      <c r="AB48" s="188"/>
      <c r="AC48" s="188"/>
      <c r="AD48" s="188"/>
      <c r="AE48" s="188"/>
      <c r="AF48" s="188"/>
      <c r="AG48" s="188"/>
      <c r="AH48" s="188"/>
      <c r="AI48" s="188"/>
      <c r="AJ48" s="188"/>
      <c r="AK48" s="188"/>
      <c r="AL48" s="188"/>
      <c r="AM48" s="188"/>
      <c r="AN48" s="188"/>
      <c r="AO48" s="188"/>
      <c r="AP48" s="188"/>
      <c r="AQ48" s="188"/>
      <c r="AR48" s="188"/>
      <c r="AS48" s="188"/>
      <c r="AT48" s="188"/>
      <c r="AU48" s="188"/>
      <c r="AV48" s="188"/>
      <c r="AW48" s="188"/>
      <c r="AX48" s="188"/>
      <c r="AY48" s="188"/>
      <c r="AZ48" s="188"/>
      <c r="BA48" s="188"/>
      <c r="BB48" s="188"/>
      <c r="BC48" s="188"/>
      <c r="BD48" s="188"/>
      <c r="BE48" s="188"/>
      <c r="BF48" s="188"/>
      <c r="BG48" s="188"/>
      <c r="BH48" s="188"/>
      <c r="BI48" s="188"/>
      <c r="BJ48" s="188"/>
      <c r="BK48" s="188"/>
      <c r="BL48" s="188"/>
      <c r="BM48" s="188"/>
      <c r="BN48" s="188"/>
      <c r="BO48" s="188"/>
      <c r="BP48" s="188"/>
    </row>
    <row r="49" spans="1:68" x14ac:dyDescent="0.15">
      <c r="A49" s="188"/>
      <c r="B49" s="188"/>
      <c r="C49" s="188"/>
      <c r="D49" s="188"/>
      <c r="E49" s="188"/>
      <c r="F49" s="188"/>
      <c r="G49" s="188"/>
      <c r="H49" s="188"/>
      <c r="I49" s="188"/>
      <c r="J49" s="188"/>
      <c r="K49" s="188"/>
      <c r="L49" s="188"/>
      <c r="M49" s="188"/>
      <c r="N49" s="188"/>
      <c r="O49" s="188"/>
      <c r="P49" s="188"/>
      <c r="Q49" s="188"/>
      <c r="R49" s="188"/>
      <c r="S49" s="188"/>
      <c r="T49" s="188"/>
      <c r="U49" s="188"/>
      <c r="V49" s="188"/>
      <c r="W49" s="188"/>
      <c r="X49" s="188"/>
      <c r="Y49" s="188"/>
      <c r="Z49" s="188"/>
      <c r="AA49" s="188"/>
      <c r="AB49" s="188"/>
      <c r="AC49" s="188"/>
      <c r="AD49" s="188"/>
      <c r="AE49" s="188"/>
      <c r="AF49" s="188"/>
      <c r="AG49" s="188"/>
      <c r="AH49" s="188"/>
      <c r="AI49" s="188"/>
      <c r="AJ49" s="188"/>
      <c r="AK49" s="188"/>
      <c r="AL49" s="188"/>
      <c r="AM49" s="188"/>
      <c r="AN49" s="188"/>
      <c r="AO49" s="188"/>
      <c r="AP49" s="188"/>
      <c r="AQ49" s="188"/>
      <c r="AR49" s="188"/>
      <c r="AS49" s="188"/>
      <c r="AT49" s="188"/>
      <c r="AU49" s="188"/>
      <c r="AV49" s="188"/>
      <c r="AW49" s="188"/>
      <c r="AX49" s="188"/>
      <c r="AY49" s="188"/>
      <c r="AZ49" s="188"/>
      <c r="BA49" s="188"/>
      <c r="BB49" s="188"/>
      <c r="BC49" s="188"/>
      <c r="BD49" s="188"/>
      <c r="BE49" s="188"/>
      <c r="BF49" s="188"/>
      <c r="BG49" s="188"/>
      <c r="BH49" s="188"/>
      <c r="BI49" s="188"/>
      <c r="BJ49" s="188"/>
      <c r="BK49" s="188"/>
      <c r="BL49" s="188"/>
      <c r="BM49" s="188"/>
      <c r="BN49" s="188"/>
      <c r="BO49" s="188"/>
      <c r="BP49" s="188"/>
    </row>
    <row r="50" spans="1:68" x14ac:dyDescent="0.15">
      <c r="A50" s="188"/>
      <c r="B50" s="188"/>
      <c r="C50" s="188"/>
      <c r="D50" s="188"/>
      <c r="E50" s="188"/>
      <c r="F50" s="188"/>
      <c r="G50" s="188"/>
      <c r="H50" s="188"/>
      <c r="I50" s="188"/>
      <c r="J50" s="188"/>
      <c r="K50" s="188"/>
      <c r="L50" s="188"/>
      <c r="M50" s="188"/>
      <c r="N50" s="188"/>
      <c r="O50" s="188"/>
      <c r="P50" s="188"/>
      <c r="Q50" s="188"/>
      <c r="R50" s="188"/>
      <c r="S50" s="188"/>
      <c r="T50" s="188"/>
      <c r="U50" s="188"/>
      <c r="V50" s="188"/>
      <c r="W50" s="188"/>
      <c r="X50" s="188"/>
      <c r="Y50" s="188"/>
      <c r="Z50" s="188"/>
      <c r="AA50" s="188"/>
      <c r="AB50" s="188"/>
      <c r="AC50" s="188"/>
      <c r="AD50" s="188"/>
      <c r="AE50" s="188"/>
      <c r="AF50" s="188"/>
      <c r="AG50" s="188"/>
      <c r="AH50" s="188"/>
      <c r="AI50" s="188"/>
      <c r="AJ50" s="188"/>
      <c r="AK50" s="188"/>
      <c r="AL50" s="188"/>
      <c r="AM50" s="188"/>
      <c r="AN50" s="188"/>
      <c r="AO50" s="188"/>
      <c r="AP50" s="188"/>
      <c r="AQ50" s="188"/>
      <c r="AR50" s="188"/>
      <c r="AS50" s="188"/>
      <c r="AT50" s="188"/>
      <c r="AU50" s="188"/>
      <c r="AV50" s="188"/>
      <c r="AW50" s="188"/>
      <c r="AX50" s="188"/>
      <c r="AY50" s="188"/>
      <c r="AZ50" s="188"/>
      <c r="BA50" s="188"/>
      <c r="BB50" s="188"/>
      <c r="BC50" s="188"/>
      <c r="BD50" s="188"/>
      <c r="BE50" s="188"/>
      <c r="BF50" s="188"/>
      <c r="BG50" s="188"/>
      <c r="BH50" s="188"/>
      <c r="BI50" s="188"/>
      <c r="BJ50" s="188"/>
      <c r="BK50" s="188"/>
      <c r="BL50" s="188"/>
      <c r="BM50" s="188"/>
      <c r="BN50" s="188"/>
      <c r="BO50" s="188"/>
      <c r="BP50" s="188"/>
    </row>
    <row r="51" spans="1:68" x14ac:dyDescent="0.15">
      <c r="A51" s="188"/>
      <c r="B51" s="188"/>
      <c r="C51" s="188"/>
      <c r="D51" s="188"/>
      <c r="E51" s="188"/>
      <c r="F51" s="188"/>
      <c r="G51" s="188"/>
      <c r="H51" s="188"/>
      <c r="I51" s="188"/>
      <c r="J51" s="188"/>
      <c r="K51" s="188"/>
      <c r="L51" s="188"/>
      <c r="M51" s="188"/>
      <c r="N51" s="188"/>
      <c r="O51" s="188"/>
      <c r="P51" s="188"/>
      <c r="Q51" s="188"/>
      <c r="R51" s="188"/>
      <c r="S51" s="188"/>
      <c r="T51" s="188"/>
      <c r="U51" s="188"/>
      <c r="V51" s="188"/>
      <c r="W51" s="188"/>
      <c r="X51" s="188"/>
      <c r="Y51" s="188"/>
      <c r="Z51" s="188"/>
      <c r="AA51" s="188"/>
      <c r="AB51" s="188"/>
      <c r="AC51" s="188"/>
      <c r="AD51" s="188"/>
      <c r="AE51" s="188"/>
      <c r="AF51" s="188"/>
      <c r="AG51" s="188"/>
      <c r="AH51" s="188"/>
      <c r="AI51" s="188"/>
      <c r="AJ51" s="188"/>
      <c r="AK51" s="188"/>
      <c r="AL51" s="188"/>
      <c r="AM51" s="188"/>
      <c r="AN51" s="188"/>
      <c r="AO51" s="188"/>
      <c r="AP51" s="188"/>
      <c r="AQ51" s="188"/>
      <c r="AR51" s="188"/>
      <c r="AS51" s="188"/>
      <c r="AT51" s="188"/>
      <c r="AU51" s="188"/>
      <c r="AV51" s="188"/>
      <c r="AW51" s="188"/>
      <c r="AX51" s="188"/>
      <c r="AY51" s="188"/>
      <c r="AZ51" s="188"/>
      <c r="BA51" s="188"/>
      <c r="BB51" s="188"/>
      <c r="BC51" s="188"/>
      <c r="BD51" s="188"/>
      <c r="BE51" s="188"/>
      <c r="BF51" s="188"/>
      <c r="BG51" s="188"/>
      <c r="BH51" s="188"/>
      <c r="BI51" s="188"/>
      <c r="BJ51" s="188"/>
      <c r="BK51" s="188"/>
      <c r="BL51" s="188"/>
      <c r="BM51" s="188"/>
      <c r="BN51" s="188"/>
      <c r="BO51" s="188"/>
      <c r="BP51" s="188"/>
    </row>
    <row r="52" spans="1:68" x14ac:dyDescent="0.15">
      <c r="A52" s="188"/>
      <c r="B52" s="188"/>
      <c r="C52" s="188"/>
      <c r="D52" s="188"/>
      <c r="E52" s="188"/>
      <c r="F52" s="188"/>
      <c r="G52" s="188"/>
      <c r="H52" s="188"/>
      <c r="I52" s="188"/>
      <c r="J52" s="188"/>
      <c r="K52" s="188"/>
      <c r="L52" s="188"/>
      <c r="M52" s="188"/>
      <c r="N52" s="188"/>
      <c r="O52" s="188"/>
      <c r="P52" s="188"/>
      <c r="Q52" s="188"/>
      <c r="R52" s="188"/>
      <c r="S52" s="188"/>
      <c r="T52" s="188"/>
      <c r="U52" s="188"/>
      <c r="V52" s="188"/>
      <c r="W52" s="188"/>
      <c r="X52" s="188"/>
      <c r="Y52" s="188"/>
      <c r="Z52" s="188"/>
      <c r="AA52" s="188"/>
      <c r="AB52" s="188"/>
      <c r="AC52" s="188"/>
      <c r="AD52" s="188"/>
      <c r="AE52" s="188"/>
      <c r="AF52" s="188"/>
      <c r="AG52" s="188"/>
      <c r="AH52" s="188"/>
      <c r="AI52" s="188"/>
      <c r="AJ52" s="188"/>
      <c r="AK52" s="188"/>
      <c r="AL52" s="188"/>
      <c r="AM52" s="188"/>
      <c r="AN52" s="188"/>
      <c r="AO52" s="188"/>
      <c r="AP52" s="188"/>
      <c r="AQ52" s="188"/>
      <c r="AR52" s="188"/>
      <c r="AS52" s="188"/>
      <c r="AT52" s="188"/>
      <c r="AU52" s="188"/>
      <c r="AV52" s="188"/>
      <c r="AW52" s="188"/>
      <c r="AX52" s="188"/>
      <c r="AY52" s="188"/>
      <c r="AZ52" s="188"/>
      <c r="BA52" s="188"/>
      <c r="BB52" s="188"/>
      <c r="BC52" s="188"/>
      <c r="BD52" s="188"/>
      <c r="BE52" s="188"/>
      <c r="BF52" s="188"/>
      <c r="BG52" s="188"/>
      <c r="BH52" s="188"/>
      <c r="BI52" s="188"/>
      <c r="BJ52" s="188"/>
      <c r="BK52" s="188"/>
      <c r="BL52" s="188"/>
      <c r="BM52" s="188"/>
      <c r="BN52" s="188"/>
      <c r="BO52" s="188"/>
      <c r="BP52" s="188"/>
    </row>
    <row r="53" spans="1:68" x14ac:dyDescent="0.15">
      <c r="A53" s="188"/>
      <c r="B53" s="188"/>
      <c r="C53" s="188"/>
      <c r="D53" s="188"/>
      <c r="E53" s="188"/>
      <c r="F53" s="188"/>
      <c r="G53" s="188"/>
      <c r="H53" s="188"/>
      <c r="I53" s="188"/>
      <c r="J53" s="188"/>
      <c r="K53" s="188"/>
      <c r="L53" s="188"/>
      <c r="M53" s="188"/>
      <c r="N53" s="188"/>
      <c r="O53" s="188"/>
      <c r="P53" s="188"/>
      <c r="Q53" s="188"/>
      <c r="R53" s="188"/>
      <c r="S53" s="188"/>
      <c r="T53" s="188"/>
      <c r="U53" s="188"/>
      <c r="V53" s="188"/>
      <c r="W53" s="188"/>
      <c r="X53" s="188"/>
      <c r="Y53" s="188"/>
      <c r="Z53" s="188"/>
      <c r="AA53" s="188"/>
      <c r="AB53" s="188"/>
      <c r="AC53" s="188"/>
      <c r="AD53" s="188"/>
      <c r="AE53" s="188"/>
      <c r="AF53" s="188"/>
      <c r="AG53" s="188"/>
      <c r="AH53" s="188"/>
      <c r="AI53" s="188"/>
      <c r="AJ53" s="188"/>
      <c r="AK53" s="188"/>
      <c r="AL53" s="188"/>
      <c r="AM53" s="188"/>
      <c r="AN53" s="188"/>
      <c r="AO53" s="188"/>
      <c r="AP53" s="188"/>
      <c r="AQ53" s="188"/>
      <c r="AR53" s="188"/>
      <c r="AS53" s="188"/>
      <c r="AT53" s="188"/>
      <c r="AU53" s="188"/>
      <c r="AV53" s="188"/>
      <c r="AW53" s="188"/>
      <c r="AX53" s="188"/>
      <c r="AY53" s="188"/>
      <c r="AZ53" s="188"/>
      <c r="BA53" s="188"/>
      <c r="BB53" s="188"/>
      <c r="BC53" s="188"/>
      <c r="BD53" s="188"/>
      <c r="BE53" s="188"/>
      <c r="BF53" s="188"/>
      <c r="BG53" s="188"/>
      <c r="BH53" s="188"/>
      <c r="BI53" s="188"/>
      <c r="BJ53" s="188"/>
      <c r="BK53" s="188"/>
      <c r="BL53" s="188"/>
      <c r="BM53" s="188"/>
      <c r="BN53" s="188"/>
      <c r="BO53" s="188"/>
      <c r="BP53" s="188"/>
    </row>
    <row r="54" spans="1:68" x14ac:dyDescent="0.15">
      <c r="A54" s="188"/>
      <c r="B54" s="188"/>
      <c r="C54" s="188"/>
      <c r="D54" s="188"/>
      <c r="E54" s="188"/>
      <c r="F54" s="188"/>
      <c r="G54" s="188"/>
      <c r="H54" s="188"/>
      <c r="I54" s="188"/>
      <c r="J54" s="188"/>
      <c r="K54" s="188"/>
      <c r="L54" s="188"/>
      <c r="M54" s="188"/>
      <c r="N54" s="188"/>
      <c r="O54" s="188"/>
      <c r="P54" s="188"/>
      <c r="Q54" s="188"/>
      <c r="R54" s="188"/>
      <c r="S54" s="188"/>
      <c r="T54" s="188"/>
      <c r="U54" s="188"/>
      <c r="V54" s="188"/>
      <c r="W54" s="188"/>
      <c r="X54" s="188"/>
      <c r="Y54" s="188"/>
      <c r="Z54" s="188"/>
      <c r="AA54" s="188"/>
      <c r="AB54" s="188"/>
      <c r="AC54" s="188"/>
      <c r="AD54" s="188"/>
      <c r="AE54" s="188"/>
      <c r="AF54" s="188"/>
      <c r="AG54" s="188"/>
      <c r="AH54" s="188"/>
      <c r="AI54" s="188"/>
      <c r="AJ54" s="188"/>
      <c r="AK54" s="188"/>
      <c r="AL54" s="188"/>
      <c r="AM54" s="188"/>
      <c r="AN54" s="188"/>
      <c r="AO54" s="188"/>
      <c r="AP54" s="188"/>
      <c r="AQ54" s="188"/>
      <c r="AR54" s="188"/>
      <c r="AS54" s="188"/>
      <c r="AT54" s="188"/>
      <c r="AU54" s="188"/>
      <c r="AV54" s="188"/>
      <c r="AW54" s="188"/>
      <c r="AX54" s="188"/>
      <c r="AY54" s="188"/>
      <c r="AZ54" s="188"/>
      <c r="BA54" s="188"/>
      <c r="BB54" s="188"/>
      <c r="BC54" s="188"/>
      <c r="BD54" s="188"/>
      <c r="BE54" s="188"/>
      <c r="BF54" s="188"/>
      <c r="BG54" s="188"/>
      <c r="BH54" s="188"/>
      <c r="BI54" s="188"/>
      <c r="BJ54" s="188"/>
      <c r="BK54" s="188"/>
      <c r="BL54" s="188"/>
      <c r="BM54" s="188"/>
      <c r="BN54" s="188"/>
      <c r="BO54" s="188"/>
      <c r="BP54" s="188"/>
    </row>
    <row r="55" spans="1:68" x14ac:dyDescent="0.15">
      <c r="A55" s="188"/>
      <c r="B55" s="188"/>
      <c r="C55" s="188"/>
      <c r="D55" s="188"/>
      <c r="E55" s="188"/>
      <c r="F55" s="188"/>
      <c r="G55" s="188"/>
      <c r="H55" s="188"/>
      <c r="I55" s="188"/>
      <c r="J55" s="188"/>
      <c r="K55" s="188"/>
      <c r="L55" s="188"/>
      <c r="M55" s="188"/>
      <c r="N55" s="188"/>
      <c r="O55" s="188"/>
      <c r="P55" s="188"/>
      <c r="Q55" s="188"/>
      <c r="R55" s="188"/>
      <c r="S55" s="188"/>
      <c r="T55" s="188"/>
      <c r="U55" s="188"/>
      <c r="V55" s="188"/>
      <c r="W55" s="188"/>
      <c r="X55" s="188"/>
      <c r="Y55" s="188"/>
      <c r="Z55" s="188"/>
      <c r="AA55" s="188"/>
      <c r="AB55" s="188"/>
      <c r="AC55" s="188"/>
      <c r="AD55" s="188"/>
      <c r="AE55" s="188"/>
      <c r="AF55" s="188"/>
      <c r="AG55" s="188"/>
      <c r="AH55" s="188"/>
      <c r="AI55" s="188"/>
      <c r="AJ55" s="188"/>
      <c r="AK55" s="188"/>
      <c r="AL55" s="188"/>
      <c r="AM55" s="188"/>
      <c r="AN55" s="188"/>
      <c r="AO55" s="188"/>
      <c r="AP55" s="188"/>
      <c r="AQ55" s="188"/>
      <c r="AR55" s="188"/>
      <c r="AS55" s="188"/>
      <c r="AT55" s="188"/>
      <c r="AU55" s="188"/>
      <c r="AV55" s="188"/>
      <c r="AW55" s="188"/>
      <c r="AX55" s="188"/>
      <c r="AY55" s="188"/>
      <c r="AZ55" s="188"/>
      <c r="BA55" s="188"/>
      <c r="BB55" s="188"/>
      <c r="BC55" s="188"/>
      <c r="BD55" s="188"/>
      <c r="BE55" s="188"/>
      <c r="BF55" s="188"/>
      <c r="BG55" s="188"/>
      <c r="BH55" s="188"/>
      <c r="BI55" s="188"/>
      <c r="BJ55" s="188"/>
      <c r="BK55" s="188"/>
      <c r="BL55" s="188"/>
      <c r="BM55" s="188"/>
      <c r="BN55" s="188"/>
      <c r="BO55" s="188"/>
      <c r="BP55" s="188"/>
    </row>
    <row r="56" spans="1:68" x14ac:dyDescent="0.15">
      <c r="A56" s="188"/>
      <c r="B56" s="188"/>
      <c r="C56" s="188"/>
      <c r="D56" s="188"/>
      <c r="E56" s="188"/>
      <c r="F56" s="188"/>
      <c r="G56" s="188"/>
      <c r="H56" s="188"/>
      <c r="I56" s="188"/>
      <c r="J56" s="188"/>
      <c r="K56" s="188"/>
      <c r="L56" s="188"/>
      <c r="M56" s="188"/>
      <c r="N56" s="188"/>
      <c r="O56" s="188"/>
      <c r="P56" s="188"/>
      <c r="Q56" s="188"/>
      <c r="R56" s="188"/>
      <c r="S56" s="188"/>
      <c r="T56" s="188"/>
      <c r="U56" s="188"/>
      <c r="V56" s="188"/>
      <c r="W56" s="188"/>
      <c r="X56" s="188"/>
      <c r="Y56" s="188"/>
      <c r="Z56" s="188"/>
      <c r="AA56" s="188"/>
      <c r="AB56" s="188"/>
      <c r="AC56" s="188"/>
      <c r="AD56" s="188"/>
      <c r="AE56" s="188"/>
      <c r="AF56" s="188"/>
      <c r="AG56" s="188"/>
      <c r="AH56" s="188"/>
      <c r="AI56" s="188"/>
      <c r="AJ56" s="188"/>
      <c r="AK56" s="188"/>
      <c r="AL56" s="188"/>
      <c r="AM56" s="188"/>
      <c r="AN56" s="188"/>
      <c r="AO56" s="188"/>
      <c r="AP56" s="188"/>
      <c r="AQ56" s="188"/>
      <c r="AR56" s="188"/>
      <c r="AS56" s="188"/>
      <c r="AT56" s="188"/>
      <c r="AU56" s="188"/>
      <c r="AV56" s="188"/>
      <c r="AW56" s="188"/>
      <c r="AX56" s="188"/>
      <c r="AY56" s="188"/>
      <c r="AZ56" s="188"/>
      <c r="BA56" s="188"/>
      <c r="BB56" s="188"/>
      <c r="BC56" s="188"/>
      <c r="BD56" s="188"/>
      <c r="BE56" s="188"/>
      <c r="BF56" s="188"/>
      <c r="BG56" s="188"/>
      <c r="BH56" s="188"/>
      <c r="BI56" s="188"/>
      <c r="BJ56" s="188"/>
      <c r="BK56" s="188"/>
      <c r="BL56" s="188"/>
      <c r="BM56" s="188"/>
      <c r="BN56" s="188"/>
      <c r="BO56" s="188"/>
      <c r="BP56" s="188"/>
    </row>
    <row r="57" spans="1:68" x14ac:dyDescent="0.15">
      <c r="A57" s="188"/>
      <c r="B57" s="188"/>
      <c r="C57" s="188"/>
      <c r="D57" s="188"/>
      <c r="E57" s="188"/>
      <c r="F57" s="188"/>
      <c r="G57" s="188"/>
      <c r="H57" s="188"/>
      <c r="I57" s="188"/>
      <c r="J57" s="188"/>
      <c r="K57" s="188"/>
      <c r="L57" s="188"/>
      <c r="M57" s="188"/>
      <c r="N57" s="188"/>
      <c r="O57" s="188"/>
      <c r="P57" s="188"/>
      <c r="Q57" s="188"/>
      <c r="R57" s="188"/>
      <c r="S57" s="188"/>
      <c r="T57" s="188"/>
      <c r="U57" s="188"/>
      <c r="V57" s="188"/>
      <c r="W57" s="188"/>
      <c r="X57" s="188"/>
      <c r="Y57" s="188"/>
      <c r="Z57" s="188"/>
      <c r="AA57" s="188"/>
      <c r="AB57" s="188"/>
      <c r="AC57" s="188"/>
      <c r="AD57" s="188"/>
      <c r="AE57" s="188"/>
      <c r="AF57" s="188"/>
      <c r="AG57" s="188"/>
      <c r="AH57" s="188"/>
      <c r="AI57" s="188"/>
      <c r="AJ57" s="188"/>
      <c r="AK57" s="188"/>
      <c r="AL57" s="188"/>
      <c r="AM57" s="188"/>
      <c r="AN57" s="188"/>
      <c r="AO57" s="188"/>
      <c r="AP57" s="188"/>
      <c r="AQ57" s="188"/>
      <c r="AR57" s="188"/>
      <c r="AS57" s="188"/>
      <c r="AT57" s="188"/>
      <c r="AU57" s="188"/>
      <c r="AV57" s="188"/>
      <c r="AW57" s="188"/>
      <c r="AX57" s="188"/>
      <c r="AY57" s="188"/>
      <c r="AZ57" s="188"/>
      <c r="BA57" s="188"/>
      <c r="BB57" s="188"/>
      <c r="BC57" s="188"/>
      <c r="BD57" s="188"/>
      <c r="BE57" s="188"/>
      <c r="BF57" s="188"/>
      <c r="BG57" s="188"/>
      <c r="BH57" s="188"/>
      <c r="BI57" s="188"/>
      <c r="BJ57" s="188"/>
      <c r="BK57" s="188"/>
      <c r="BL57" s="188"/>
      <c r="BM57" s="188"/>
      <c r="BN57" s="188"/>
      <c r="BO57" s="188"/>
      <c r="BP57" s="188"/>
    </row>
    <row r="58" spans="1:68" x14ac:dyDescent="0.15">
      <c r="A58" s="188"/>
      <c r="B58" s="188"/>
      <c r="C58" s="188"/>
      <c r="D58" s="188"/>
      <c r="E58" s="188"/>
      <c r="F58" s="188"/>
      <c r="G58" s="188"/>
      <c r="H58" s="188"/>
      <c r="I58" s="188"/>
      <c r="J58" s="188"/>
      <c r="K58" s="188"/>
      <c r="L58" s="188"/>
      <c r="M58" s="188"/>
      <c r="N58" s="188"/>
      <c r="O58" s="188"/>
      <c r="P58" s="188"/>
      <c r="Q58" s="188"/>
      <c r="R58" s="188"/>
      <c r="S58" s="188"/>
      <c r="T58" s="188"/>
      <c r="U58" s="188"/>
      <c r="V58" s="188"/>
      <c r="W58" s="188"/>
      <c r="X58" s="188"/>
      <c r="Y58" s="188"/>
      <c r="Z58" s="188"/>
      <c r="AA58" s="188"/>
      <c r="AB58" s="188"/>
      <c r="AC58" s="188"/>
      <c r="AD58" s="188"/>
      <c r="AE58" s="188"/>
      <c r="AF58" s="188"/>
      <c r="AG58" s="188"/>
      <c r="AH58" s="188"/>
      <c r="AI58" s="188"/>
      <c r="AJ58" s="188"/>
      <c r="AK58" s="188"/>
      <c r="AL58" s="188"/>
      <c r="AM58" s="188"/>
      <c r="AN58" s="188"/>
      <c r="AO58" s="188"/>
      <c r="AP58" s="188"/>
      <c r="AQ58" s="188"/>
      <c r="AR58" s="188"/>
      <c r="AS58" s="188"/>
      <c r="AT58" s="188"/>
      <c r="AU58" s="188"/>
      <c r="AV58" s="188"/>
      <c r="AW58" s="188"/>
      <c r="AX58" s="188"/>
      <c r="AY58" s="188"/>
      <c r="AZ58" s="188"/>
      <c r="BA58" s="188"/>
      <c r="BB58" s="188"/>
      <c r="BC58" s="188"/>
      <c r="BD58" s="188"/>
      <c r="BE58" s="188"/>
      <c r="BF58" s="188"/>
      <c r="BG58" s="188"/>
      <c r="BH58" s="188"/>
      <c r="BI58" s="188"/>
      <c r="BJ58" s="188"/>
      <c r="BK58" s="188"/>
      <c r="BL58" s="188"/>
      <c r="BM58" s="188"/>
      <c r="BN58" s="188"/>
      <c r="BO58" s="188"/>
      <c r="BP58" s="188"/>
    </row>
    <row r="59" spans="1:68" x14ac:dyDescent="0.15">
      <c r="A59" s="188"/>
      <c r="B59" s="188"/>
      <c r="C59" s="188"/>
      <c r="D59" s="188"/>
      <c r="E59" s="188"/>
      <c r="F59" s="188"/>
      <c r="G59" s="188"/>
      <c r="H59" s="188"/>
      <c r="I59" s="188"/>
      <c r="J59" s="188"/>
      <c r="K59" s="188"/>
      <c r="L59" s="188"/>
      <c r="M59" s="188"/>
      <c r="N59" s="188"/>
      <c r="O59" s="188"/>
      <c r="P59" s="188"/>
      <c r="Q59" s="188"/>
      <c r="R59" s="188"/>
      <c r="S59" s="188"/>
      <c r="T59" s="188"/>
      <c r="U59" s="188"/>
      <c r="V59" s="188"/>
      <c r="W59" s="188"/>
      <c r="X59" s="188"/>
      <c r="Y59" s="188"/>
      <c r="Z59" s="188"/>
      <c r="AA59" s="188"/>
      <c r="AB59" s="188"/>
      <c r="AC59" s="188"/>
      <c r="AD59" s="188"/>
      <c r="AE59" s="188"/>
      <c r="AF59" s="188"/>
      <c r="AG59" s="188"/>
      <c r="AH59" s="188"/>
      <c r="AI59" s="188"/>
      <c r="AJ59" s="188"/>
      <c r="AK59" s="188"/>
      <c r="AL59" s="188"/>
      <c r="AM59" s="188"/>
      <c r="AN59" s="188"/>
      <c r="AO59" s="188"/>
      <c r="AP59" s="188"/>
      <c r="AQ59" s="188"/>
      <c r="AR59" s="188"/>
      <c r="AS59" s="188"/>
      <c r="AT59" s="188"/>
      <c r="AU59" s="188"/>
      <c r="AV59" s="188"/>
      <c r="AW59" s="188"/>
      <c r="AX59" s="188"/>
      <c r="AY59" s="188"/>
      <c r="AZ59" s="188"/>
      <c r="BA59" s="188"/>
      <c r="BB59" s="188"/>
      <c r="BC59" s="188"/>
      <c r="BD59" s="188"/>
      <c r="BE59" s="188"/>
      <c r="BF59" s="188"/>
      <c r="BG59" s="188"/>
      <c r="BH59" s="188"/>
      <c r="BI59" s="188"/>
      <c r="BJ59" s="188"/>
      <c r="BK59" s="188"/>
      <c r="BL59" s="188"/>
      <c r="BM59" s="188"/>
      <c r="BN59" s="188"/>
      <c r="BO59" s="188"/>
      <c r="BP59" s="188"/>
    </row>
    <row r="60" spans="1:68" x14ac:dyDescent="0.15">
      <c r="A60" s="188"/>
      <c r="B60" s="188"/>
      <c r="C60" s="188"/>
      <c r="D60" s="188"/>
      <c r="E60" s="188"/>
      <c r="F60" s="188"/>
      <c r="G60" s="188"/>
      <c r="H60" s="188"/>
      <c r="I60" s="188"/>
      <c r="J60" s="188"/>
      <c r="K60" s="188"/>
      <c r="L60" s="188"/>
      <c r="M60" s="188"/>
      <c r="N60" s="188"/>
      <c r="O60" s="188"/>
      <c r="P60" s="188"/>
      <c r="Q60" s="188"/>
      <c r="R60" s="188"/>
      <c r="S60" s="188"/>
      <c r="T60" s="188"/>
      <c r="U60" s="188"/>
      <c r="V60" s="188"/>
      <c r="W60" s="188"/>
      <c r="X60" s="188"/>
      <c r="Y60" s="188"/>
      <c r="Z60" s="188"/>
      <c r="AA60" s="188"/>
      <c r="AB60" s="188"/>
      <c r="AC60" s="188"/>
      <c r="AD60" s="188"/>
      <c r="AE60" s="188"/>
      <c r="AF60" s="188"/>
      <c r="AG60" s="188"/>
      <c r="AH60" s="188"/>
      <c r="AI60" s="188"/>
      <c r="AJ60" s="188"/>
      <c r="AK60" s="188"/>
      <c r="AL60" s="188"/>
      <c r="AM60" s="188"/>
      <c r="AN60" s="188"/>
      <c r="AO60" s="188"/>
      <c r="AP60" s="188"/>
      <c r="AQ60" s="188"/>
      <c r="AR60" s="188"/>
      <c r="AS60" s="188"/>
      <c r="AT60" s="188"/>
      <c r="AU60" s="188"/>
      <c r="AV60" s="188"/>
      <c r="AW60" s="188"/>
      <c r="AX60" s="188"/>
      <c r="AY60" s="188"/>
      <c r="AZ60" s="188"/>
      <c r="BA60" s="188"/>
      <c r="BB60" s="188"/>
      <c r="BC60" s="188"/>
      <c r="BD60" s="188"/>
      <c r="BE60" s="188"/>
      <c r="BF60" s="188"/>
      <c r="BG60" s="188"/>
      <c r="BH60" s="188"/>
      <c r="BI60" s="188"/>
      <c r="BJ60" s="188"/>
      <c r="BK60" s="188"/>
      <c r="BL60" s="188"/>
      <c r="BM60" s="188"/>
      <c r="BN60" s="188"/>
      <c r="BO60" s="188"/>
      <c r="BP60" s="188"/>
    </row>
    <row r="61" spans="1:68" x14ac:dyDescent="0.15">
      <c r="A61" s="188"/>
      <c r="B61" s="188"/>
      <c r="C61" s="188"/>
      <c r="D61" s="188"/>
      <c r="E61" s="188"/>
      <c r="F61" s="188"/>
      <c r="G61" s="188"/>
      <c r="H61" s="188"/>
      <c r="I61" s="188"/>
      <c r="J61" s="188"/>
      <c r="K61" s="188"/>
      <c r="L61" s="188"/>
      <c r="M61" s="188"/>
      <c r="N61" s="188"/>
      <c r="O61" s="188"/>
      <c r="P61" s="188"/>
      <c r="Q61" s="188"/>
      <c r="R61" s="188"/>
      <c r="S61" s="188"/>
      <c r="T61" s="188"/>
      <c r="U61" s="188"/>
      <c r="V61" s="188"/>
      <c r="W61" s="188"/>
      <c r="X61" s="188"/>
      <c r="Y61" s="188"/>
      <c r="Z61" s="188"/>
      <c r="AA61" s="188"/>
      <c r="AB61" s="188"/>
      <c r="AC61" s="188"/>
      <c r="AD61" s="188"/>
      <c r="AE61" s="188"/>
      <c r="AF61" s="188"/>
      <c r="AG61" s="188"/>
      <c r="AH61" s="188"/>
      <c r="AI61" s="188"/>
      <c r="AJ61" s="188"/>
      <c r="AK61" s="188"/>
      <c r="AL61" s="188"/>
      <c r="AM61" s="188"/>
      <c r="AN61" s="188"/>
      <c r="AO61" s="188"/>
      <c r="AP61" s="188"/>
      <c r="AQ61" s="188"/>
      <c r="AR61" s="188"/>
      <c r="AS61" s="188"/>
      <c r="AT61" s="188"/>
      <c r="AU61" s="188"/>
      <c r="AV61" s="188"/>
      <c r="AW61" s="188"/>
      <c r="AX61" s="188"/>
      <c r="AY61" s="188"/>
      <c r="AZ61" s="188"/>
      <c r="BA61" s="188"/>
      <c r="BB61" s="188"/>
      <c r="BC61" s="188"/>
      <c r="BD61" s="188"/>
      <c r="BE61" s="188"/>
      <c r="BF61" s="188"/>
      <c r="BG61" s="188"/>
      <c r="BH61" s="188"/>
      <c r="BI61" s="188"/>
      <c r="BJ61" s="188"/>
      <c r="BK61" s="188"/>
      <c r="BL61" s="188"/>
      <c r="BM61" s="188"/>
      <c r="BN61" s="188"/>
      <c r="BO61" s="188"/>
      <c r="BP61" s="188"/>
    </row>
    <row r="62" spans="1:68" x14ac:dyDescent="0.15">
      <c r="A62" s="188"/>
      <c r="B62" s="188"/>
      <c r="C62" s="188"/>
      <c r="D62" s="188"/>
      <c r="E62" s="188"/>
      <c r="F62" s="188"/>
      <c r="G62" s="188"/>
      <c r="H62" s="188"/>
      <c r="I62" s="188"/>
      <c r="J62" s="188"/>
      <c r="K62" s="188"/>
      <c r="L62" s="188"/>
      <c r="M62" s="188"/>
      <c r="N62" s="188"/>
      <c r="O62" s="188"/>
      <c r="P62" s="188"/>
      <c r="Q62" s="188"/>
      <c r="R62" s="188"/>
      <c r="S62" s="188"/>
      <c r="T62" s="188"/>
      <c r="U62" s="188"/>
      <c r="V62" s="188"/>
      <c r="W62" s="188"/>
      <c r="X62" s="188"/>
      <c r="Y62" s="188"/>
      <c r="Z62" s="188"/>
      <c r="AA62" s="188"/>
      <c r="AB62" s="188"/>
      <c r="AC62" s="188"/>
      <c r="AD62" s="188"/>
      <c r="AE62" s="188"/>
      <c r="AF62" s="188"/>
      <c r="AG62" s="188"/>
      <c r="AH62" s="188"/>
      <c r="AI62" s="188"/>
      <c r="AJ62" s="188"/>
      <c r="AK62" s="188"/>
      <c r="AL62" s="188"/>
      <c r="AM62" s="188"/>
      <c r="AN62" s="188"/>
      <c r="AO62" s="188"/>
      <c r="AP62" s="188"/>
      <c r="AQ62" s="188"/>
      <c r="AR62" s="188"/>
      <c r="AS62" s="188"/>
      <c r="AT62" s="188"/>
      <c r="AU62" s="188"/>
      <c r="AV62" s="188"/>
      <c r="AW62" s="188"/>
      <c r="AX62" s="188"/>
      <c r="AY62" s="188"/>
      <c r="AZ62" s="188"/>
      <c r="BA62" s="188"/>
      <c r="BB62" s="188"/>
      <c r="BC62" s="188"/>
      <c r="BD62" s="188"/>
      <c r="BE62" s="188"/>
      <c r="BF62" s="188"/>
      <c r="BG62" s="188"/>
      <c r="BH62" s="188"/>
      <c r="BI62" s="188"/>
      <c r="BJ62" s="188"/>
      <c r="BK62" s="188"/>
      <c r="BL62" s="188"/>
      <c r="BM62" s="188"/>
      <c r="BN62" s="188"/>
      <c r="BO62" s="188"/>
      <c r="BP62" s="188"/>
    </row>
    <row r="63" spans="1:68" x14ac:dyDescent="0.15">
      <c r="A63" s="188"/>
      <c r="B63" s="188"/>
      <c r="C63" s="188"/>
      <c r="D63" s="188"/>
      <c r="E63" s="188"/>
      <c r="F63" s="188"/>
      <c r="G63" s="188"/>
      <c r="H63" s="188"/>
      <c r="I63" s="188"/>
      <c r="J63" s="188"/>
      <c r="K63" s="188"/>
      <c r="L63" s="188"/>
      <c r="M63" s="188"/>
      <c r="N63" s="188"/>
      <c r="O63" s="188"/>
      <c r="P63" s="188"/>
      <c r="Q63" s="188"/>
      <c r="R63" s="188"/>
      <c r="S63" s="188"/>
      <c r="T63" s="188"/>
      <c r="U63" s="188"/>
      <c r="V63" s="188"/>
      <c r="W63" s="188"/>
      <c r="X63" s="188"/>
      <c r="Y63" s="188"/>
      <c r="Z63" s="188"/>
      <c r="AA63" s="188"/>
      <c r="AB63" s="188"/>
      <c r="AC63" s="188"/>
      <c r="AD63" s="188"/>
      <c r="AE63" s="188"/>
      <c r="AF63" s="188"/>
      <c r="AG63" s="188"/>
      <c r="AH63" s="188"/>
      <c r="AI63" s="188"/>
      <c r="AJ63" s="188"/>
      <c r="AK63" s="188"/>
      <c r="AL63" s="188"/>
      <c r="AM63" s="188"/>
      <c r="AN63" s="188"/>
      <c r="AO63" s="188"/>
      <c r="AP63" s="188"/>
      <c r="AQ63" s="188"/>
      <c r="AR63" s="188"/>
      <c r="AS63" s="188"/>
      <c r="AT63" s="188"/>
      <c r="AU63" s="188"/>
      <c r="AV63" s="188"/>
      <c r="AW63" s="188"/>
      <c r="AX63" s="188"/>
      <c r="AY63" s="188"/>
      <c r="AZ63" s="188"/>
      <c r="BA63" s="188"/>
      <c r="BB63" s="188"/>
      <c r="BC63" s="188"/>
      <c r="BD63" s="188"/>
      <c r="BE63" s="188"/>
      <c r="BF63" s="188"/>
      <c r="BG63" s="188"/>
      <c r="BH63" s="188"/>
      <c r="BI63" s="188"/>
      <c r="BJ63" s="188"/>
      <c r="BK63" s="188"/>
      <c r="BL63" s="188"/>
      <c r="BM63" s="188"/>
      <c r="BN63" s="188"/>
      <c r="BO63" s="188"/>
      <c r="BP63" s="188"/>
    </row>
    <row r="64" spans="1:68" x14ac:dyDescent="0.15">
      <c r="A64" s="188"/>
      <c r="B64" s="188"/>
      <c r="C64" s="188"/>
      <c r="D64" s="188"/>
      <c r="E64" s="188"/>
      <c r="F64" s="188"/>
      <c r="G64" s="188"/>
      <c r="H64" s="188"/>
      <c r="I64" s="188"/>
      <c r="J64" s="188"/>
      <c r="K64" s="188"/>
      <c r="L64" s="188"/>
      <c r="M64" s="188"/>
      <c r="N64" s="188"/>
      <c r="O64" s="188"/>
      <c r="P64" s="188"/>
      <c r="Q64" s="188"/>
      <c r="R64" s="188"/>
      <c r="S64" s="188"/>
      <c r="T64" s="188"/>
      <c r="U64" s="188"/>
      <c r="V64" s="188"/>
      <c r="W64" s="188"/>
      <c r="X64" s="188"/>
      <c r="Y64" s="188"/>
      <c r="Z64" s="188"/>
      <c r="AA64" s="188"/>
      <c r="AB64" s="188"/>
      <c r="AC64" s="188"/>
      <c r="AD64" s="188"/>
      <c r="AE64" s="188"/>
      <c r="AF64" s="188"/>
      <c r="AG64" s="188"/>
      <c r="AH64" s="188"/>
      <c r="AI64" s="188"/>
      <c r="AJ64" s="188"/>
      <c r="AK64" s="188"/>
      <c r="AL64" s="188"/>
      <c r="AM64" s="188"/>
      <c r="AN64" s="188"/>
      <c r="AO64" s="188"/>
      <c r="AP64" s="188"/>
      <c r="AQ64" s="188"/>
      <c r="AR64" s="188"/>
      <c r="AS64" s="188"/>
      <c r="AT64" s="188"/>
      <c r="AU64" s="188"/>
      <c r="AV64" s="188"/>
      <c r="AW64" s="188"/>
      <c r="AX64" s="188"/>
      <c r="AY64" s="188"/>
      <c r="AZ64" s="188"/>
      <c r="BA64" s="188"/>
      <c r="BB64" s="188"/>
      <c r="BC64" s="188"/>
      <c r="BD64" s="188"/>
      <c r="BE64" s="188"/>
      <c r="BF64" s="188"/>
      <c r="BG64" s="188"/>
      <c r="BH64" s="188"/>
      <c r="BI64" s="188"/>
      <c r="BJ64" s="188"/>
      <c r="BK64" s="188"/>
      <c r="BL64" s="188"/>
      <c r="BM64" s="188"/>
      <c r="BN64" s="188"/>
      <c r="BO64" s="188"/>
      <c r="BP64" s="188"/>
    </row>
    <row r="65" spans="1:68" x14ac:dyDescent="0.15">
      <c r="A65" s="188"/>
      <c r="B65" s="188"/>
      <c r="C65" s="188"/>
      <c r="D65" s="188"/>
      <c r="E65" s="188"/>
      <c r="F65" s="188"/>
      <c r="G65" s="188"/>
      <c r="H65" s="188"/>
      <c r="I65" s="188"/>
      <c r="J65" s="188"/>
      <c r="K65" s="188"/>
      <c r="L65" s="188"/>
      <c r="M65" s="188"/>
      <c r="N65" s="188"/>
      <c r="O65" s="188"/>
      <c r="P65" s="188"/>
      <c r="Q65" s="188"/>
      <c r="R65" s="188"/>
      <c r="S65" s="188"/>
      <c r="T65" s="188"/>
      <c r="U65" s="188"/>
      <c r="V65" s="188"/>
      <c r="W65" s="188"/>
      <c r="X65" s="188"/>
      <c r="Y65" s="188"/>
      <c r="Z65" s="188"/>
      <c r="AA65" s="188"/>
      <c r="AB65" s="188"/>
      <c r="AC65" s="188"/>
      <c r="AD65" s="188"/>
      <c r="AE65" s="188"/>
      <c r="AF65" s="188"/>
      <c r="AG65" s="188"/>
      <c r="AH65" s="188"/>
      <c r="AI65" s="188"/>
      <c r="AJ65" s="188"/>
      <c r="AK65" s="188"/>
      <c r="AL65" s="188"/>
      <c r="AM65" s="188"/>
      <c r="AN65" s="188"/>
      <c r="AO65" s="188"/>
      <c r="AP65" s="188"/>
      <c r="AQ65" s="188"/>
      <c r="AR65" s="188"/>
      <c r="AS65" s="188"/>
      <c r="AT65" s="188"/>
      <c r="AU65" s="188"/>
      <c r="AV65" s="188"/>
      <c r="AW65" s="188"/>
      <c r="AX65" s="188"/>
      <c r="AY65" s="188"/>
      <c r="AZ65" s="188"/>
      <c r="BA65" s="188"/>
      <c r="BB65" s="188"/>
      <c r="BC65" s="188"/>
      <c r="BD65" s="188"/>
      <c r="BE65" s="188"/>
      <c r="BF65" s="188"/>
      <c r="BG65" s="188"/>
      <c r="BH65" s="188"/>
      <c r="BI65" s="188"/>
      <c r="BJ65" s="188"/>
      <c r="BK65" s="188"/>
      <c r="BL65" s="188"/>
      <c r="BM65" s="188"/>
      <c r="BN65" s="188"/>
      <c r="BO65" s="188"/>
      <c r="BP65" s="188"/>
    </row>
    <row r="66" spans="1:68" x14ac:dyDescent="0.15">
      <c r="A66" s="188"/>
      <c r="B66" s="188"/>
      <c r="C66" s="188"/>
      <c r="D66" s="188"/>
      <c r="E66" s="188"/>
      <c r="F66" s="188"/>
      <c r="G66" s="188"/>
      <c r="H66" s="188"/>
      <c r="I66" s="188"/>
      <c r="J66" s="188"/>
      <c r="K66" s="188"/>
      <c r="L66" s="188"/>
      <c r="M66" s="188"/>
      <c r="N66" s="188"/>
      <c r="O66" s="188"/>
      <c r="P66" s="188"/>
      <c r="Q66" s="188"/>
      <c r="R66" s="188"/>
      <c r="S66" s="188"/>
      <c r="T66" s="188"/>
      <c r="U66" s="188"/>
      <c r="V66" s="188"/>
      <c r="W66" s="188"/>
      <c r="X66" s="188"/>
      <c r="Y66" s="188"/>
      <c r="Z66" s="188"/>
      <c r="AA66" s="188"/>
      <c r="AB66" s="188"/>
      <c r="AC66" s="188"/>
      <c r="AD66" s="188"/>
      <c r="AE66" s="188"/>
      <c r="AF66" s="188"/>
      <c r="AG66" s="188"/>
      <c r="AH66" s="188"/>
      <c r="AI66" s="188"/>
      <c r="AJ66" s="188"/>
      <c r="AK66" s="188"/>
      <c r="AL66" s="188"/>
      <c r="AM66" s="188"/>
      <c r="AN66" s="188"/>
      <c r="AO66" s="188"/>
      <c r="AP66" s="188"/>
      <c r="AQ66" s="188"/>
      <c r="AR66" s="188"/>
      <c r="AS66" s="188"/>
      <c r="AT66" s="188"/>
      <c r="AU66" s="188"/>
      <c r="AV66" s="188"/>
      <c r="AW66" s="188"/>
      <c r="AX66" s="188"/>
      <c r="AY66" s="188"/>
      <c r="AZ66" s="188"/>
      <c r="BA66" s="188"/>
      <c r="BB66" s="188"/>
      <c r="BC66" s="188"/>
      <c r="BD66" s="188"/>
      <c r="BE66" s="188"/>
      <c r="BF66" s="188"/>
      <c r="BG66" s="188"/>
      <c r="BH66" s="188"/>
      <c r="BI66" s="188"/>
      <c r="BJ66" s="188"/>
      <c r="BK66" s="188"/>
      <c r="BL66" s="188"/>
      <c r="BM66" s="188"/>
      <c r="BN66" s="188"/>
      <c r="BO66" s="188"/>
      <c r="BP66" s="188"/>
    </row>
    <row r="67" spans="1:68" x14ac:dyDescent="0.15">
      <c r="A67" s="188"/>
      <c r="B67" s="188"/>
      <c r="C67" s="188"/>
      <c r="D67" s="188"/>
      <c r="E67" s="188"/>
      <c r="F67" s="188"/>
      <c r="G67" s="188"/>
      <c r="H67" s="188"/>
      <c r="I67" s="188"/>
      <c r="J67" s="188"/>
      <c r="K67" s="188"/>
      <c r="L67" s="188"/>
      <c r="M67" s="188"/>
      <c r="N67" s="188"/>
      <c r="O67" s="188"/>
      <c r="P67" s="188"/>
      <c r="Q67" s="188"/>
      <c r="R67" s="188"/>
      <c r="S67" s="188"/>
      <c r="T67" s="188"/>
      <c r="U67" s="188"/>
      <c r="V67" s="188"/>
      <c r="W67" s="188"/>
      <c r="X67" s="188"/>
      <c r="Y67" s="188"/>
      <c r="Z67" s="188"/>
      <c r="AA67" s="188"/>
      <c r="AB67" s="188"/>
      <c r="AC67" s="188"/>
      <c r="AD67" s="188"/>
      <c r="AE67" s="188"/>
      <c r="AF67" s="188"/>
      <c r="AG67" s="188"/>
      <c r="AH67" s="188"/>
      <c r="AI67" s="188"/>
      <c r="AJ67" s="188"/>
      <c r="AK67" s="188"/>
      <c r="AL67" s="188"/>
      <c r="AM67" s="188"/>
      <c r="AN67" s="188"/>
      <c r="AO67" s="188"/>
      <c r="AP67" s="188"/>
      <c r="AQ67" s="188"/>
      <c r="AR67" s="188"/>
      <c r="AS67" s="188"/>
      <c r="AT67" s="188"/>
      <c r="AU67" s="188"/>
      <c r="AV67" s="188"/>
      <c r="AW67" s="188"/>
      <c r="AX67" s="188"/>
      <c r="AY67" s="188"/>
      <c r="AZ67" s="188"/>
      <c r="BA67" s="188"/>
      <c r="BB67" s="188"/>
      <c r="BC67" s="188"/>
      <c r="BD67" s="188"/>
      <c r="BE67" s="188"/>
      <c r="BF67" s="188"/>
      <c r="BG67" s="188"/>
      <c r="BH67" s="188"/>
      <c r="BI67" s="188"/>
      <c r="BJ67" s="188"/>
      <c r="BK67" s="188"/>
      <c r="BL67" s="188"/>
      <c r="BM67" s="188"/>
      <c r="BN67" s="188"/>
      <c r="BO67" s="188"/>
    </row>
  </sheetData>
  <mergeCells count="1">
    <mergeCell ref="B37:AL39"/>
  </mergeCells>
  <phoneticPr fontId="0" type="noConversion"/>
  <printOptions gridLinesSet="0"/>
  <pageMargins left="0" right="0" top="0" bottom="0" header="0.5" footer="0.5"/>
  <pageSetup paperSize="0" fitToHeight="0" orientation="landscape" horizontalDpi="0" verticalDpi="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06FD7-988C-4C9A-B4CF-0BB60A4C6F9E}">
  <sheetPr>
    <outlinePr summaryBelow="0" summaryRight="0"/>
    <pageSetUpPr autoPageBreaks="0" fitToPage="1"/>
  </sheetPr>
  <dimension ref="A1:BP73"/>
  <sheetViews>
    <sheetView showGridLines="0" zoomScale="75" zoomScaleNormal="75" zoomScaleSheetLayoutView="75" workbookViewId="0"/>
  </sheetViews>
  <sheetFormatPr defaultRowHeight="12.75" x14ac:dyDescent="0.15"/>
  <cols>
    <col min="1" max="1" width="1.75" customWidth="1"/>
    <col min="2" max="2" width="9.70703125" customWidth="1"/>
    <col min="3" max="3" width="47.73828125" customWidth="1"/>
    <col min="4" max="4" width="25.75390625" customWidth="1"/>
    <col min="5" max="7" width="9.70703125" customWidth="1"/>
    <col min="8" max="9" width="7.68359375" customWidth="1"/>
    <col min="10" max="37" width="3.234375" customWidth="1"/>
    <col min="38" max="38" width="1.75" customWidth="1"/>
  </cols>
  <sheetData>
    <row r="1" spans="2:68" ht="30" customHeight="1" x14ac:dyDescent="0.25">
      <c r="B1" s="168" t="s">
        <v>177</v>
      </c>
      <c r="E1" s="105"/>
      <c r="F1" s="105"/>
      <c r="G1" s="105"/>
      <c r="H1" s="105"/>
      <c r="I1" s="105"/>
      <c r="J1" s="105"/>
      <c r="K1" s="105"/>
      <c r="L1" s="105"/>
      <c r="M1" s="105"/>
      <c r="N1" s="106"/>
      <c r="O1" s="107"/>
      <c r="P1" s="107"/>
      <c r="Q1" s="107"/>
      <c r="R1" s="107"/>
      <c r="S1" s="108"/>
      <c r="T1" s="108"/>
      <c r="U1" s="108"/>
      <c r="V1" s="108"/>
      <c r="W1" s="108"/>
      <c r="X1" s="108"/>
      <c r="Y1" s="108"/>
      <c r="Z1" s="108"/>
      <c r="AA1" s="108"/>
      <c r="AB1" s="108"/>
      <c r="AC1" s="108"/>
      <c r="AD1" s="108"/>
      <c r="AE1" s="108"/>
      <c r="AF1" s="108"/>
      <c r="AG1" s="108"/>
      <c r="AH1" s="107"/>
      <c r="AI1" s="107"/>
      <c r="AJ1" s="107"/>
      <c r="AK1" s="107"/>
      <c r="AL1" s="107"/>
      <c r="AM1" s="187"/>
      <c r="AN1" s="187"/>
      <c r="AO1" s="187"/>
      <c r="AP1" s="187"/>
      <c r="AQ1" s="187"/>
      <c r="AR1" s="187"/>
      <c r="AS1" s="187"/>
      <c r="AT1" s="187"/>
      <c r="AU1" s="187"/>
      <c r="AV1" s="187"/>
      <c r="AW1" s="188"/>
      <c r="AX1" s="188"/>
      <c r="AY1" s="188"/>
      <c r="AZ1" s="188"/>
      <c r="BA1" s="188"/>
      <c r="BB1" s="188"/>
      <c r="BC1" s="188"/>
      <c r="BD1" s="188"/>
      <c r="BE1" s="188"/>
      <c r="BF1" s="188"/>
      <c r="BG1" s="188"/>
      <c r="BH1" s="188"/>
      <c r="BI1" s="188"/>
      <c r="BJ1" s="188"/>
      <c r="BK1" s="188"/>
      <c r="BL1" s="188"/>
      <c r="BM1" s="188"/>
      <c r="BN1" s="188"/>
      <c r="BO1" s="188"/>
      <c r="BP1" s="188"/>
    </row>
    <row r="2" spans="2:68" ht="20.100000000000001" customHeight="1" x14ac:dyDescent="0.15">
      <c r="B2" t="s">
        <v>1</v>
      </c>
      <c r="E2" s="105"/>
      <c r="F2" s="105"/>
      <c r="G2" s="105"/>
      <c r="H2" s="105"/>
      <c r="I2" s="105"/>
      <c r="J2" s="105"/>
      <c r="K2" s="105"/>
      <c r="L2" s="105"/>
      <c r="M2" s="105"/>
      <c r="N2" s="106"/>
      <c r="O2" s="107"/>
      <c r="P2" s="107"/>
      <c r="Q2" s="107"/>
      <c r="R2" s="107"/>
      <c r="S2" s="108"/>
      <c r="T2" s="108"/>
      <c r="U2" s="108"/>
      <c r="V2" s="108"/>
      <c r="W2" s="108"/>
      <c r="X2" s="108"/>
      <c r="Y2" s="108"/>
      <c r="Z2" s="108"/>
      <c r="AA2" s="108"/>
      <c r="AB2" s="108"/>
      <c r="AC2" s="108"/>
      <c r="AD2" s="108"/>
      <c r="AE2" s="108"/>
      <c r="AF2" s="108"/>
      <c r="AG2" s="108"/>
      <c r="AM2" s="28"/>
      <c r="AN2" s="28"/>
      <c r="AO2" s="28"/>
      <c r="AP2" s="28"/>
      <c r="AQ2" s="28"/>
      <c r="AR2" s="28"/>
      <c r="AS2" s="28"/>
      <c r="AT2" s="28"/>
      <c r="AU2" s="28"/>
      <c r="AV2" s="28"/>
      <c r="AW2" s="188"/>
      <c r="AX2" s="188"/>
      <c r="AY2" s="188"/>
      <c r="AZ2" s="188"/>
      <c r="BA2" s="188"/>
      <c r="BB2" s="188"/>
      <c r="BC2" s="188"/>
      <c r="BD2" s="188"/>
      <c r="BE2" s="188"/>
      <c r="BF2" s="188"/>
      <c r="BG2" s="188"/>
      <c r="BH2" s="188"/>
      <c r="BI2" s="188"/>
      <c r="BJ2" s="188"/>
      <c r="BK2" s="188"/>
      <c r="BL2" s="188"/>
      <c r="BM2" s="188"/>
      <c r="BN2" s="188"/>
      <c r="BO2" s="188"/>
      <c r="BP2" s="188"/>
    </row>
    <row r="3" spans="2:68" ht="20.100000000000001" customHeight="1" x14ac:dyDescent="0.15">
      <c r="B3" t="s">
        <v>2</v>
      </c>
      <c r="E3" s="105"/>
      <c r="F3" s="105"/>
      <c r="G3" s="105"/>
      <c r="H3" s="105"/>
      <c r="I3" s="105"/>
      <c r="J3" s="105"/>
      <c r="K3" s="105"/>
      <c r="L3" s="105"/>
      <c r="M3" s="105"/>
      <c r="N3" s="106"/>
      <c r="O3" s="107"/>
      <c r="P3" s="107"/>
      <c r="Q3" s="107"/>
      <c r="R3" s="107"/>
      <c r="S3" s="108"/>
      <c r="T3" s="108"/>
      <c r="U3" s="108"/>
      <c r="V3" s="108"/>
      <c r="W3" s="108"/>
      <c r="X3" s="108"/>
      <c r="Y3" s="108"/>
      <c r="Z3" s="108"/>
      <c r="AA3" s="108"/>
      <c r="AB3" s="108"/>
      <c r="AC3" s="108"/>
      <c r="AD3" s="108"/>
      <c r="AE3" s="108"/>
      <c r="AF3" s="108"/>
      <c r="AG3" s="108"/>
      <c r="AM3" s="28"/>
      <c r="AN3" s="28"/>
      <c r="AO3" s="28"/>
      <c r="AP3" s="28"/>
      <c r="AQ3" s="28"/>
      <c r="AR3" s="28"/>
      <c r="AS3" s="28"/>
      <c r="AT3" s="28"/>
      <c r="AU3" s="28"/>
      <c r="AV3" s="28"/>
      <c r="AW3" s="188"/>
      <c r="AX3" s="188"/>
      <c r="AY3" s="188"/>
      <c r="AZ3" s="188"/>
      <c r="BA3" s="188"/>
      <c r="BB3" s="188"/>
      <c r="BC3" s="188"/>
      <c r="BD3" s="188"/>
      <c r="BE3" s="188"/>
      <c r="BF3" s="188"/>
      <c r="BG3" s="188"/>
      <c r="BH3" s="188"/>
      <c r="BI3" s="188"/>
      <c r="BJ3" s="188"/>
      <c r="BK3" s="188"/>
      <c r="BL3" s="188"/>
      <c r="BM3" s="188"/>
      <c r="BN3" s="188"/>
      <c r="BO3" s="188"/>
      <c r="BP3" s="188"/>
    </row>
    <row r="4" spans="2:68" ht="15" customHeight="1" x14ac:dyDescent="0.15">
      <c r="E4" s="107"/>
      <c r="F4" s="106"/>
      <c r="G4" s="107"/>
      <c r="H4" s="106"/>
      <c r="I4" s="107"/>
      <c r="J4" s="106"/>
      <c r="K4" s="107"/>
      <c r="L4" s="106"/>
      <c r="M4" s="107"/>
      <c r="N4" s="106"/>
      <c r="O4" s="109"/>
      <c r="P4" s="110"/>
      <c r="Q4" s="110"/>
      <c r="R4" s="107"/>
      <c r="S4" s="108"/>
      <c r="T4" s="108"/>
      <c r="U4" s="108"/>
      <c r="V4" s="108"/>
      <c r="W4" s="108"/>
      <c r="X4" s="108"/>
      <c r="Y4" s="108"/>
      <c r="Z4" s="108"/>
      <c r="AA4" s="108"/>
      <c r="AB4" s="108"/>
      <c r="AC4" s="108"/>
      <c r="AD4" s="108"/>
      <c r="AE4" s="108"/>
      <c r="AF4" s="108"/>
      <c r="AG4" s="108"/>
      <c r="AH4" s="107"/>
      <c r="AI4" s="107"/>
      <c r="AJ4" s="107"/>
      <c r="AK4" s="107"/>
      <c r="AL4" s="107"/>
      <c r="AM4" s="187"/>
      <c r="AN4" s="187"/>
      <c r="AO4" s="187"/>
      <c r="AP4" s="187"/>
      <c r="AQ4" s="187"/>
      <c r="AR4" s="187"/>
      <c r="AS4" s="187"/>
      <c r="AT4" s="187"/>
      <c r="AU4" s="187"/>
      <c r="AV4" s="187"/>
      <c r="AW4" s="188"/>
      <c r="AX4" s="188"/>
      <c r="AY4" s="188"/>
      <c r="AZ4" s="188"/>
      <c r="BA4" s="188"/>
      <c r="BB4" s="188"/>
      <c r="BC4" s="188"/>
      <c r="BD4" s="188"/>
      <c r="BE4" s="188"/>
      <c r="BF4" s="188"/>
      <c r="BG4" s="188"/>
      <c r="BH4" s="188"/>
      <c r="BI4" s="188"/>
      <c r="BJ4" s="188"/>
      <c r="BK4" s="188"/>
      <c r="BL4" s="188"/>
      <c r="BM4" s="188"/>
      <c r="BN4" s="188"/>
      <c r="BO4" s="188"/>
      <c r="BP4" s="188"/>
    </row>
    <row r="5" spans="2:68" ht="15" customHeight="1" x14ac:dyDescent="0.15">
      <c r="E5" s="111"/>
      <c r="F5" s="111"/>
      <c r="G5" s="111"/>
      <c r="H5" s="111"/>
      <c r="I5" s="111"/>
      <c r="J5" s="111"/>
      <c r="K5" s="111"/>
      <c r="L5" s="111"/>
      <c r="M5" s="111"/>
      <c r="N5" s="111"/>
      <c r="O5" s="112"/>
      <c r="P5" s="108"/>
      <c r="Q5" s="108"/>
      <c r="R5" s="108"/>
      <c r="S5" s="108"/>
      <c r="T5" s="108"/>
      <c r="U5" s="108"/>
      <c r="V5" s="108"/>
      <c r="W5" s="108"/>
      <c r="X5" s="108"/>
      <c r="Y5" s="108"/>
      <c r="Z5" s="108"/>
      <c r="AA5" s="108"/>
      <c r="AB5" s="108"/>
      <c r="AC5" s="108"/>
      <c r="AD5" s="108"/>
      <c r="AE5" s="108"/>
      <c r="AF5" s="108"/>
      <c r="AG5" s="108"/>
      <c r="AH5" s="108"/>
      <c r="AI5" s="108"/>
      <c r="AJ5" s="108"/>
      <c r="AK5" s="108"/>
      <c r="AL5" s="113"/>
      <c r="AM5" s="189"/>
      <c r="AN5" s="189"/>
      <c r="AO5" s="189"/>
      <c r="AP5" s="189"/>
      <c r="AQ5" s="189"/>
      <c r="AR5" s="189"/>
      <c r="AS5" s="189"/>
      <c r="AT5" s="189"/>
      <c r="AU5" s="189"/>
      <c r="AV5" s="189"/>
      <c r="AW5" s="188"/>
      <c r="AX5" s="188"/>
      <c r="AY5" s="188"/>
      <c r="AZ5" s="188"/>
      <c r="BA5" s="188"/>
      <c r="BB5" s="188"/>
      <c r="BC5" s="188"/>
      <c r="BD5" s="188"/>
      <c r="BE5" s="188"/>
      <c r="BF5" s="188"/>
      <c r="BG5" s="188"/>
      <c r="BH5" s="188"/>
      <c r="BI5" s="188"/>
      <c r="BJ5" s="188"/>
      <c r="BK5" s="188"/>
      <c r="BL5" s="188"/>
      <c r="BM5" s="188"/>
      <c r="BN5" s="188"/>
      <c r="BO5" s="188"/>
      <c r="BP5" s="188"/>
    </row>
    <row r="6" spans="2:68" ht="30" customHeight="1" x14ac:dyDescent="0.15">
      <c r="B6" s="114"/>
      <c r="C6" s="114"/>
      <c r="D6" s="114"/>
      <c r="E6" s="114"/>
      <c r="F6" s="114"/>
      <c r="G6" s="114"/>
      <c r="H6" s="114"/>
      <c r="I6" s="115"/>
      <c r="J6" s="116" t="s">
        <v>19</v>
      </c>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t="s">
        <v>22</v>
      </c>
      <c r="AK6" s="118"/>
      <c r="AL6" s="107"/>
      <c r="AM6" s="187"/>
      <c r="AN6" s="187"/>
      <c r="AO6" s="187"/>
      <c r="AP6" s="187"/>
      <c r="AQ6" s="187"/>
      <c r="AR6" s="187"/>
      <c r="AS6" s="187"/>
      <c r="AT6" s="187"/>
      <c r="AU6" s="187"/>
      <c r="AV6" s="187"/>
      <c r="AW6" s="188"/>
      <c r="AX6" s="188"/>
      <c r="AY6" s="188"/>
      <c r="AZ6" s="188"/>
      <c r="BA6" s="188"/>
      <c r="BB6" s="188"/>
      <c r="BC6" s="188"/>
      <c r="BD6" s="188"/>
      <c r="BE6" s="188"/>
      <c r="BF6" s="188"/>
      <c r="BG6" s="188"/>
      <c r="BH6" s="188"/>
      <c r="BI6" s="188"/>
      <c r="BJ6" s="188"/>
      <c r="BK6" s="188"/>
      <c r="BL6" s="188"/>
      <c r="BM6" s="188"/>
      <c r="BN6" s="188"/>
      <c r="BO6" s="188"/>
      <c r="BP6" s="188"/>
    </row>
    <row r="7" spans="2:68" ht="24.95" customHeight="1" x14ac:dyDescent="0.15">
      <c r="B7" s="119" t="s">
        <v>70</v>
      </c>
      <c r="C7" s="119" t="s">
        <v>71</v>
      </c>
      <c r="D7" s="119" t="s">
        <v>72</v>
      </c>
      <c r="E7" s="119" t="s">
        <v>73</v>
      </c>
      <c r="F7" s="119" t="s">
        <v>74</v>
      </c>
      <c r="G7" s="119" t="s">
        <v>75</v>
      </c>
      <c r="H7" s="120" t="s">
        <v>76</v>
      </c>
      <c r="I7" s="119" t="s">
        <v>77</v>
      </c>
      <c r="J7" s="121">
        <v>5</v>
      </c>
      <c r="K7" s="121">
        <v>6</v>
      </c>
      <c r="L7" s="121">
        <v>7</v>
      </c>
      <c r="M7" s="121">
        <v>8</v>
      </c>
      <c r="N7" s="121">
        <v>9</v>
      </c>
      <c r="O7" s="121">
        <v>10</v>
      </c>
      <c r="P7" s="121">
        <v>11</v>
      </c>
      <c r="Q7" s="121">
        <v>12</v>
      </c>
      <c r="R7" s="121">
        <v>13</v>
      </c>
      <c r="S7" s="121">
        <v>14</v>
      </c>
      <c r="T7" s="121">
        <v>15</v>
      </c>
      <c r="U7" s="121">
        <v>16</v>
      </c>
      <c r="V7" s="121">
        <v>17</v>
      </c>
      <c r="W7" s="121">
        <v>18</v>
      </c>
      <c r="X7" s="121">
        <v>19</v>
      </c>
      <c r="Y7" s="121">
        <v>20</v>
      </c>
      <c r="Z7" s="121">
        <v>21</v>
      </c>
      <c r="AA7" s="121">
        <v>22</v>
      </c>
      <c r="AB7" s="121">
        <v>23</v>
      </c>
      <c r="AC7" s="121">
        <v>24</v>
      </c>
      <c r="AD7" s="121">
        <v>25</v>
      </c>
      <c r="AE7" s="121">
        <v>26</v>
      </c>
      <c r="AF7" s="121">
        <v>27</v>
      </c>
      <c r="AG7" s="121">
        <v>28</v>
      </c>
      <c r="AH7" s="121">
        <v>29</v>
      </c>
      <c r="AI7" s="121">
        <v>30</v>
      </c>
      <c r="AJ7" s="121">
        <v>1</v>
      </c>
      <c r="AK7" s="121">
        <v>2</v>
      </c>
      <c r="AL7" s="107"/>
      <c r="AM7" s="187"/>
      <c r="AN7" s="187"/>
      <c r="AO7" s="187"/>
      <c r="AP7" s="187"/>
      <c r="AQ7" s="187"/>
      <c r="AR7" s="187"/>
      <c r="AS7" s="187"/>
      <c r="AT7" s="187"/>
      <c r="AU7" s="187"/>
      <c r="AV7" s="187"/>
      <c r="AW7" s="188"/>
      <c r="AX7" s="188"/>
      <c r="AY7" s="188"/>
      <c r="AZ7" s="188"/>
      <c r="BA7" s="188"/>
      <c r="BB7" s="188"/>
      <c r="BC7" s="188"/>
      <c r="BD7" s="188"/>
      <c r="BE7" s="188"/>
      <c r="BF7" s="188"/>
      <c r="BG7" s="188"/>
      <c r="BH7" s="188"/>
      <c r="BI7" s="188"/>
      <c r="BJ7" s="188"/>
      <c r="BK7" s="188"/>
      <c r="BL7" s="188"/>
      <c r="BM7" s="188"/>
      <c r="BN7" s="188"/>
      <c r="BO7" s="188"/>
      <c r="BP7" s="188"/>
    </row>
    <row r="8" spans="2:68" x14ac:dyDescent="0.15">
      <c r="B8" s="170">
        <v>11621</v>
      </c>
      <c r="C8" s="170" t="s">
        <v>178</v>
      </c>
      <c r="D8" s="170" t="s">
        <v>179</v>
      </c>
      <c r="E8" s="170" t="s">
        <v>180</v>
      </c>
      <c r="F8" s="170" t="s">
        <v>181</v>
      </c>
      <c r="G8" s="170" t="s">
        <v>182</v>
      </c>
      <c r="H8" s="170">
        <v>0</v>
      </c>
      <c r="I8" s="169"/>
      <c r="J8" s="170"/>
      <c r="K8" s="171"/>
      <c r="L8" s="171"/>
      <c r="M8" s="171"/>
      <c r="N8" s="171"/>
      <c r="O8" s="171"/>
      <c r="P8" s="171"/>
      <c r="Q8" s="171"/>
      <c r="R8" s="171"/>
      <c r="S8" s="171"/>
      <c r="T8" s="171"/>
      <c r="U8" s="171"/>
      <c r="V8" s="171"/>
      <c r="W8" s="171"/>
      <c r="X8" s="171"/>
      <c r="Y8" s="171"/>
      <c r="Z8" s="171"/>
      <c r="AA8" s="171"/>
      <c r="AB8" s="171"/>
      <c r="AC8" s="171"/>
      <c r="AD8" s="171"/>
      <c r="AE8" s="171"/>
      <c r="AF8" s="171"/>
      <c r="AG8" s="171"/>
      <c r="AH8" s="171"/>
      <c r="AI8" s="171"/>
      <c r="AJ8" s="171"/>
      <c r="AK8" s="171"/>
      <c r="AL8" s="141"/>
      <c r="AM8" s="188"/>
      <c r="AN8" s="188"/>
      <c r="AO8" s="188"/>
      <c r="AP8" s="188"/>
      <c r="AQ8" s="188"/>
      <c r="AR8" s="188"/>
      <c r="AS8" s="188"/>
      <c r="AT8" s="188"/>
      <c r="AU8" s="188"/>
      <c r="AV8" s="188"/>
      <c r="AW8" s="188"/>
      <c r="AX8" s="188"/>
      <c r="AY8" s="188"/>
      <c r="AZ8" s="188"/>
      <c r="BA8" s="188"/>
      <c r="BB8" s="188"/>
      <c r="BC8" s="188"/>
      <c r="BD8" s="188"/>
      <c r="BE8" s="188"/>
      <c r="BF8" s="188"/>
      <c r="BG8" s="188"/>
      <c r="BH8" s="188"/>
      <c r="BI8" s="188"/>
      <c r="BJ8" s="188"/>
      <c r="BK8" s="188"/>
      <c r="BL8" s="188"/>
      <c r="BM8" s="188"/>
      <c r="BN8" s="188"/>
      <c r="BO8" s="188"/>
      <c r="BP8" s="188"/>
    </row>
    <row r="9" spans="2:68" x14ac:dyDescent="0.15">
      <c r="B9" s="141">
        <v>40091</v>
      </c>
      <c r="C9" s="141" t="s">
        <v>183</v>
      </c>
      <c r="D9" s="141" t="s">
        <v>179</v>
      </c>
      <c r="E9" s="141" t="s">
        <v>180</v>
      </c>
      <c r="F9" s="141" t="s">
        <v>184</v>
      </c>
      <c r="G9" s="141" t="s">
        <v>185</v>
      </c>
      <c r="H9" s="141">
        <v>0</v>
      </c>
      <c r="I9" s="172"/>
      <c r="J9" s="141"/>
      <c r="K9" s="173"/>
      <c r="L9" s="173"/>
      <c r="M9" s="173"/>
      <c r="N9" s="173"/>
      <c r="O9" s="173"/>
      <c r="P9" s="173"/>
      <c r="Q9" s="173"/>
      <c r="R9" s="173"/>
      <c r="S9" s="173"/>
      <c r="T9" s="173"/>
      <c r="U9" s="173"/>
      <c r="V9" s="173"/>
      <c r="W9" s="173"/>
      <c r="X9" s="173"/>
      <c r="Y9" s="173"/>
      <c r="Z9" s="173"/>
      <c r="AA9" s="173"/>
      <c r="AB9" s="173"/>
      <c r="AC9" s="173"/>
      <c r="AD9" s="173"/>
      <c r="AE9" s="173"/>
      <c r="AF9" s="173"/>
      <c r="AG9" s="173"/>
      <c r="AH9" s="173"/>
      <c r="AI9" s="173"/>
      <c r="AJ9" s="173"/>
      <c r="AK9" s="173"/>
      <c r="AL9" s="141"/>
      <c r="AM9" s="188"/>
      <c r="AN9" s="188"/>
      <c r="AO9" s="188"/>
      <c r="AP9" s="188"/>
      <c r="AQ9" s="188"/>
      <c r="AR9" s="188"/>
      <c r="AS9" s="188"/>
      <c r="AT9" s="188"/>
      <c r="AU9" s="188"/>
      <c r="AV9" s="188"/>
      <c r="AW9" s="188"/>
      <c r="AX9" s="188"/>
      <c r="AY9" s="188"/>
      <c r="AZ9" s="188"/>
      <c r="BA9" s="188"/>
      <c r="BB9" s="188"/>
      <c r="BC9" s="188"/>
      <c r="BD9" s="188"/>
      <c r="BE9" s="188"/>
      <c r="BF9" s="188"/>
      <c r="BG9" s="188"/>
      <c r="BH9" s="188"/>
      <c r="BI9" s="188"/>
      <c r="BJ9" s="188"/>
      <c r="BK9" s="188"/>
      <c r="BL9" s="188"/>
      <c r="BM9" s="188"/>
      <c r="BN9" s="188"/>
      <c r="BO9" s="188"/>
      <c r="BP9" s="188"/>
    </row>
    <row r="10" spans="2:68" x14ac:dyDescent="0.15">
      <c r="B10" s="170">
        <v>17377</v>
      </c>
      <c r="C10" s="170" t="s">
        <v>186</v>
      </c>
      <c r="D10" s="170" t="s">
        <v>179</v>
      </c>
      <c r="E10" s="170" t="s">
        <v>180</v>
      </c>
      <c r="F10" s="170" t="s">
        <v>187</v>
      </c>
      <c r="G10" s="170" t="s">
        <v>188</v>
      </c>
      <c r="H10" s="170">
        <v>0</v>
      </c>
      <c r="I10" s="169"/>
      <c r="J10" s="170"/>
      <c r="K10" s="171"/>
      <c r="L10" s="171"/>
      <c r="M10" s="171"/>
      <c r="N10" s="171"/>
      <c r="O10" s="171"/>
      <c r="P10" s="171"/>
      <c r="Q10" s="171"/>
      <c r="R10" s="171"/>
      <c r="S10" s="171"/>
      <c r="T10" s="171"/>
      <c r="U10" s="171"/>
      <c r="V10" s="171"/>
      <c r="W10" s="171"/>
      <c r="X10" s="171"/>
      <c r="Y10" s="171"/>
      <c r="Z10" s="171"/>
      <c r="AA10" s="171"/>
      <c r="AB10" s="171"/>
      <c r="AC10" s="171"/>
      <c r="AD10" s="171"/>
      <c r="AE10" s="171"/>
      <c r="AF10" s="171"/>
      <c r="AG10" s="171"/>
      <c r="AH10" s="171"/>
      <c r="AI10" s="171"/>
      <c r="AJ10" s="171"/>
      <c r="AK10" s="171"/>
      <c r="AL10" s="141"/>
      <c r="AM10" s="188"/>
      <c r="AN10" s="188"/>
      <c r="AO10" s="188"/>
      <c r="AP10" s="188"/>
      <c r="AQ10" s="188"/>
      <c r="AR10" s="188"/>
      <c r="AS10" s="188"/>
      <c r="AT10" s="188"/>
      <c r="AU10" s="188"/>
      <c r="AV10" s="188"/>
      <c r="AW10" s="188"/>
      <c r="AX10" s="188"/>
      <c r="AY10" s="188"/>
      <c r="AZ10" s="188"/>
      <c r="BA10" s="188"/>
      <c r="BB10" s="188"/>
      <c r="BC10" s="188"/>
      <c r="BD10" s="188"/>
      <c r="BE10" s="188"/>
      <c r="BF10" s="188"/>
      <c r="BG10" s="188"/>
      <c r="BH10" s="188"/>
      <c r="BI10" s="188"/>
      <c r="BJ10" s="188"/>
      <c r="BK10" s="188"/>
      <c r="BL10" s="188"/>
      <c r="BM10" s="188"/>
      <c r="BN10" s="188"/>
      <c r="BO10" s="188"/>
      <c r="BP10" s="188"/>
    </row>
    <row r="11" spans="2:68" x14ac:dyDescent="0.15">
      <c r="B11" s="141">
        <v>52203</v>
      </c>
      <c r="C11" s="141" t="s">
        <v>189</v>
      </c>
      <c r="D11" s="141" t="s">
        <v>179</v>
      </c>
      <c r="E11" s="141" t="s">
        <v>180</v>
      </c>
      <c r="F11" s="141" t="s">
        <v>131</v>
      </c>
      <c r="G11" s="141" t="s">
        <v>190</v>
      </c>
      <c r="H11" s="141">
        <v>0</v>
      </c>
      <c r="I11" s="172"/>
      <c r="J11" s="141"/>
      <c r="K11" s="173"/>
      <c r="L11" s="173"/>
      <c r="M11" s="173"/>
      <c r="N11" s="173"/>
      <c r="O11" s="173"/>
      <c r="P11" s="173"/>
      <c r="Q11" s="173"/>
      <c r="R11" s="173"/>
      <c r="S11" s="173"/>
      <c r="T11" s="173"/>
      <c r="U11" s="173"/>
      <c r="V11" s="173"/>
      <c r="W11" s="173"/>
      <c r="X11" s="173"/>
      <c r="Y11" s="173"/>
      <c r="Z11" s="173"/>
      <c r="AA11" s="173"/>
      <c r="AB11" s="173"/>
      <c r="AC11" s="173"/>
      <c r="AD11" s="173"/>
      <c r="AE11" s="173"/>
      <c r="AF11" s="173"/>
      <c r="AG11" s="173"/>
      <c r="AH11" s="173"/>
      <c r="AI11" s="173"/>
      <c r="AJ11" s="173"/>
      <c r="AK11" s="173"/>
      <c r="AL11" s="141"/>
      <c r="AM11" s="188"/>
      <c r="AN11" s="188"/>
      <c r="AO11" s="188"/>
      <c r="AP11" s="188"/>
      <c r="AQ11" s="188"/>
      <c r="AR11" s="188"/>
      <c r="AS11" s="188"/>
      <c r="AT11" s="188"/>
      <c r="AU11" s="188"/>
      <c r="AV11" s="188"/>
      <c r="AW11" s="188"/>
      <c r="AX11" s="188"/>
      <c r="AY11" s="188"/>
      <c r="AZ11" s="188"/>
      <c r="BA11" s="188"/>
      <c r="BB11" s="188"/>
      <c r="BC11" s="188"/>
      <c r="BD11" s="188"/>
      <c r="BE11" s="188"/>
      <c r="BF11" s="188"/>
      <c r="BG11" s="188"/>
      <c r="BH11" s="188"/>
      <c r="BI11" s="188"/>
      <c r="BJ11" s="188"/>
      <c r="BK11" s="188"/>
      <c r="BL11" s="188"/>
      <c r="BM11" s="188"/>
      <c r="BN11" s="188"/>
      <c r="BO11" s="188"/>
      <c r="BP11" s="188"/>
    </row>
    <row r="12" spans="2:68" x14ac:dyDescent="0.15">
      <c r="B12" s="170">
        <v>24991</v>
      </c>
      <c r="C12" s="170" t="s">
        <v>191</v>
      </c>
      <c r="D12" s="170" t="s">
        <v>179</v>
      </c>
      <c r="E12" s="170" t="s">
        <v>180</v>
      </c>
      <c r="F12" s="170" t="s">
        <v>192</v>
      </c>
      <c r="G12" s="170"/>
      <c r="H12" s="170">
        <v>0</v>
      </c>
      <c r="I12" s="169"/>
      <c r="J12" s="170"/>
      <c r="K12" s="171"/>
      <c r="L12" s="171"/>
      <c r="M12" s="171"/>
      <c r="N12" s="171"/>
      <c r="O12" s="171"/>
      <c r="P12" s="171"/>
      <c r="Q12" s="171"/>
      <c r="R12" s="171"/>
      <c r="S12" s="171"/>
      <c r="T12" s="171"/>
      <c r="U12" s="171"/>
      <c r="V12" s="171"/>
      <c r="W12" s="171"/>
      <c r="X12" s="171"/>
      <c r="Y12" s="171"/>
      <c r="Z12" s="171"/>
      <c r="AA12" s="171"/>
      <c r="AB12" s="171"/>
      <c r="AC12" s="171"/>
      <c r="AD12" s="171"/>
      <c r="AE12" s="171"/>
      <c r="AF12" s="171"/>
      <c r="AG12" s="171"/>
      <c r="AH12" s="171"/>
      <c r="AI12" s="171"/>
      <c r="AJ12" s="171"/>
      <c r="AK12" s="171"/>
      <c r="AL12" s="141"/>
      <c r="AM12" s="188"/>
      <c r="AN12" s="188"/>
      <c r="AO12" s="188"/>
      <c r="AP12" s="188"/>
      <c r="AQ12" s="188"/>
      <c r="AR12" s="188"/>
      <c r="AS12" s="188"/>
      <c r="AT12" s="188"/>
      <c r="AU12" s="188"/>
      <c r="AV12" s="188"/>
      <c r="AW12" s="188"/>
      <c r="AX12" s="188"/>
      <c r="AY12" s="188"/>
      <c r="AZ12" s="188"/>
      <c r="BA12" s="188"/>
      <c r="BB12" s="188"/>
      <c r="BC12" s="188"/>
      <c r="BD12" s="188"/>
      <c r="BE12" s="188"/>
      <c r="BF12" s="188"/>
      <c r="BG12" s="188"/>
      <c r="BH12" s="188"/>
      <c r="BI12" s="188"/>
      <c r="BJ12" s="188"/>
      <c r="BK12" s="188"/>
      <c r="BL12" s="188"/>
      <c r="BM12" s="188"/>
      <c r="BN12" s="188"/>
      <c r="BO12" s="188"/>
      <c r="BP12" s="188"/>
    </row>
    <row r="13" spans="2:68" x14ac:dyDescent="0.15">
      <c r="B13" s="141">
        <v>24990</v>
      </c>
      <c r="C13" s="141" t="s">
        <v>193</v>
      </c>
      <c r="D13" s="141" t="s">
        <v>179</v>
      </c>
      <c r="E13" s="141" t="s">
        <v>180</v>
      </c>
      <c r="F13" s="141" t="s">
        <v>154</v>
      </c>
      <c r="G13" s="141" t="s">
        <v>194</v>
      </c>
      <c r="H13" s="141">
        <v>0</v>
      </c>
      <c r="I13" s="172"/>
      <c r="J13" s="141"/>
      <c r="K13" s="173"/>
      <c r="L13" s="173"/>
      <c r="M13" s="173"/>
      <c r="N13" s="173"/>
      <c r="O13" s="173"/>
      <c r="P13" s="173"/>
      <c r="Q13" s="173"/>
      <c r="R13" s="173"/>
      <c r="S13" s="173"/>
      <c r="T13" s="173"/>
      <c r="U13" s="173"/>
      <c r="V13" s="173"/>
      <c r="W13" s="173"/>
      <c r="X13" s="173"/>
      <c r="Y13" s="173"/>
      <c r="Z13" s="173"/>
      <c r="AA13" s="173"/>
      <c r="AB13" s="173"/>
      <c r="AC13" s="173"/>
      <c r="AD13" s="173"/>
      <c r="AE13" s="173"/>
      <c r="AF13" s="173"/>
      <c r="AG13" s="173"/>
      <c r="AH13" s="173"/>
      <c r="AI13" s="173"/>
      <c r="AJ13" s="173"/>
      <c r="AK13" s="173"/>
      <c r="AL13" s="141"/>
      <c r="AM13" s="188"/>
      <c r="AN13" s="188"/>
      <c r="AO13" s="188"/>
      <c r="AP13" s="188"/>
      <c r="AQ13" s="188"/>
      <c r="AR13" s="188"/>
      <c r="AS13" s="188"/>
      <c r="AT13" s="188"/>
      <c r="AU13" s="188"/>
      <c r="AV13" s="188"/>
      <c r="AW13" s="188"/>
      <c r="AX13" s="188"/>
      <c r="AY13" s="188"/>
      <c r="AZ13" s="188"/>
      <c r="BA13" s="188"/>
      <c r="BB13" s="188"/>
      <c r="BC13" s="188"/>
      <c r="BD13" s="188"/>
      <c r="BE13" s="188"/>
      <c r="BF13" s="188"/>
      <c r="BG13" s="188"/>
      <c r="BH13" s="188"/>
      <c r="BI13" s="188"/>
      <c r="BJ13" s="188"/>
      <c r="BK13" s="188"/>
      <c r="BL13" s="188"/>
      <c r="BM13" s="188"/>
      <c r="BN13" s="188"/>
      <c r="BO13" s="188"/>
      <c r="BP13" s="188"/>
    </row>
    <row r="14" spans="2:68" x14ac:dyDescent="0.15">
      <c r="B14" s="170">
        <v>7167</v>
      </c>
      <c r="C14" s="170" t="s">
        <v>195</v>
      </c>
      <c r="D14" s="170" t="s">
        <v>179</v>
      </c>
      <c r="E14" s="170" t="s">
        <v>180</v>
      </c>
      <c r="F14" s="170" t="s">
        <v>196</v>
      </c>
      <c r="G14" s="170" t="s">
        <v>197</v>
      </c>
      <c r="H14" s="170">
        <v>0</v>
      </c>
      <c r="I14" s="169"/>
      <c r="J14" s="170"/>
      <c r="K14" s="171"/>
      <c r="L14" s="171"/>
      <c r="M14" s="171"/>
      <c r="N14" s="171"/>
      <c r="O14" s="171"/>
      <c r="P14" s="171"/>
      <c r="Q14" s="171"/>
      <c r="R14" s="171"/>
      <c r="S14" s="171"/>
      <c r="T14" s="171"/>
      <c r="U14" s="171"/>
      <c r="V14" s="171"/>
      <c r="W14" s="171"/>
      <c r="X14" s="171"/>
      <c r="Y14" s="171"/>
      <c r="Z14" s="171"/>
      <c r="AA14" s="171"/>
      <c r="AB14" s="171"/>
      <c r="AC14" s="171"/>
      <c r="AD14" s="171"/>
      <c r="AE14" s="171"/>
      <c r="AF14" s="171"/>
      <c r="AG14" s="171"/>
      <c r="AH14" s="171"/>
      <c r="AI14" s="171"/>
      <c r="AJ14" s="171"/>
      <c r="AK14" s="171"/>
      <c r="AL14" s="141"/>
      <c r="AM14" s="188"/>
      <c r="AN14" s="188"/>
      <c r="AO14" s="188"/>
      <c r="AP14" s="188"/>
      <c r="AQ14" s="188"/>
      <c r="AR14" s="188"/>
      <c r="AS14" s="188"/>
      <c r="AT14" s="188"/>
      <c r="AU14" s="188"/>
      <c r="AV14" s="188"/>
      <c r="AW14" s="188"/>
      <c r="AX14" s="188"/>
      <c r="AY14" s="188"/>
      <c r="AZ14" s="188"/>
      <c r="BA14" s="188"/>
      <c r="BB14" s="188"/>
      <c r="BC14" s="188"/>
      <c r="BD14" s="188"/>
      <c r="BE14" s="188"/>
      <c r="BF14" s="188"/>
      <c r="BG14" s="188"/>
      <c r="BH14" s="188"/>
      <c r="BI14" s="188"/>
      <c r="BJ14" s="188"/>
      <c r="BK14" s="188"/>
      <c r="BL14" s="188"/>
      <c r="BM14" s="188"/>
      <c r="BN14" s="188"/>
      <c r="BO14" s="188"/>
      <c r="BP14" s="188"/>
    </row>
    <row r="15" spans="2:68" x14ac:dyDescent="0.15">
      <c r="B15" s="141">
        <v>25559</v>
      </c>
      <c r="C15" s="141" t="s">
        <v>198</v>
      </c>
      <c r="D15" s="141" t="s">
        <v>179</v>
      </c>
      <c r="E15" s="141" t="s">
        <v>180</v>
      </c>
      <c r="F15" s="141" t="s">
        <v>199</v>
      </c>
      <c r="G15" s="141"/>
      <c r="H15" s="141">
        <v>0</v>
      </c>
      <c r="I15" s="172"/>
      <c r="J15" s="141"/>
      <c r="K15" s="173"/>
      <c r="L15" s="173"/>
      <c r="M15" s="173"/>
      <c r="N15" s="173"/>
      <c r="O15" s="173"/>
      <c r="P15" s="173"/>
      <c r="Q15" s="173"/>
      <c r="R15" s="173"/>
      <c r="S15" s="173"/>
      <c r="T15" s="173"/>
      <c r="U15" s="173"/>
      <c r="V15" s="173"/>
      <c r="W15" s="173"/>
      <c r="X15" s="173"/>
      <c r="Y15" s="173"/>
      <c r="Z15" s="173"/>
      <c r="AA15" s="173"/>
      <c r="AB15" s="173"/>
      <c r="AC15" s="173"/>
      <c r="AD15" s="173"/>
      <c r="AE15" s="173"/>
      <c r="AF15" s="173"/>
      <c r="AG15" s="173"/>
      <c r="AH15" s="173"/>
      <c r="AI15" s="173"/>
      <c r="AJ15" s="173"/>
      <c r="AK15" s="173"/>
      <c r="AL15" s="141"/>
      <c r="AM15" s="188"/>
      <c r="AN15" s="188"/>
      <c r="AO15" s="188"/>
      <c r="AP15" s="188"/>
      <c r="AQ15" s="188"/>
      <c r="AR15" s="188"/>
      <c r="AS15" s="188"/>
      <c r="AT15" s="188"/>
      <c r="AU15" s="188"/>
      <c r="AV15" s="188"/>
      <c r="AW15" s="188"/>
      <c r="AX15" s="188"/>
      <c r="AY15" s="188"/>
      <c r="AZ15" s="188"/>
      <c r="BA15" s="188"/>
      <c r="BB15" s="188"/>
      <c r="BC15" s="188"/>
      <c r="BD15" s="188"/>
      <c r="BE15" s="188"/>
      <c r="BF15" s="188"/>
      <c r="BG15" s="188"/>
      <c r="BH15" s="188"/>
      <c r="BI15" s="188"/>
      <c r="BJ15" s="188"/>
      <c r="BK15" s="188"/>
      <c r="BL15" s="188"/>
      <c r="BM15" s="188"/>
      <c r="BN15" s="188"/>
      <c r="BO15" s="188"/>
      <c r="BP15" s="188"/>
    </row>
    <row r="16" spans="2:68" x14ac:dyDescent="0.15">
      <c r="B16" s="170">
        <v>32074</v>
      </c>
      <c r="C16" s="170" t="s">
        <v>200</v>
      </c>
      <c r="D16" s="170" t="s">
        <v>179</v>
      </c>
      <c r="E16" s="170" t="s">
        <v>180</v>
      </c>
      <c r="F16" s="170" t="s">
        <v>201</v>
      </c>
      <c r="G16" s="170" t="s">
        <v>174</v>
      </c>
      <c r="H16" s="170">
        <v>0</v>
      </c>
      <c r="I16" s="169"/>
      <c r="J16" s="170"/>
      <c r="K16" s="171"/>
      <c r="L16" s="171"/>
      <c r="M16" s="171"/>
      <c r="N16" s="171"/>
      <c r="O16" s="171"/>
      <c r="P16" s="171"/>
      <c r="Q16" s="171"/>
      <c r="R16" s="171"/>
      <c r="S16" s="171"/>
      <c r="T16" s="171"/>
      <c r="U16" s="171"/>
      <c r="V16" s="171"/>
      <c r="W16" s="171"/>
      <c r="X16" s="171"/>
      <c r="Y16" s="171"/>
      <c r="Z16" s="171"/>
      <c r="AA16" s="171"/>
      <c r="AB16" s="171"/>
      <c r="AC16" s="171"/>
      <c r="AD16" s="171"/>
      <c r="AE16" s="171"/>
      <c r="AF16" s="171"/>
      <c r="AG16" s="171"/>
      <c r="AH16" s="171"/>
      <c r="AI16" s="171"/>
      <c r="AJ16" s="171"/>
      <c r="AK16" s="171"/>
      <c r="AL16" s="141"/>
      <c r="AM16" s="188"/>
      <c r="AN16" s="188"/>
      <c r="AO16" s="188"/>
      <c r="AP16" s="188"/>
      <c r="AQ16" s="188"/>
      <c r="AR16" s="188"/>
      <c r="AS16" s="188"/>
      <c r="AT16" s="188"/>
      <c r="AU16" s="188"/>
      <c r="AV16" s="188"/>
      <c r="AW16" s="188"/>
      <c r="AX16" s="188"/>
      <c r="AY16" s="188"/>
      <c r="AZ16" s="188"/>
      <c r="BA16" s="188"/>
      <c r="BB16" s="188"/>
      <c r="BC16" s="188"/>
      <c r="BD16" s="188"/>
      <c r="BE16" s="188"/>
      <c r="BF16" s="188"/>
      <c r="BG16" s="188"/>
      <c r="BH16" s="188"/>
      <c r="BI16" s="188"/>
      <c r="BJ16" s="188"/>
      <c r="BK16" s="188"/>
      <c r="BL16" s="188"/>
      <c r="BM16" s="188"/>
      <c r="BN16" s="188"/>
      <c r="BO16" s="188"/>
      <c r="BP16" s="188"/>
    </row>
    <row r="17" spans="2:68" x14ac:dyDescent="0.15">
      <c r="B17" s="141">
        <v>17382</v>
      </c>
      <c r="C17" s="141" t="s">
        <v>202</v>
      </c>
      <c r="D17" s="141" t="s">
        <v>179</v>
      </c>
      <c r="E17" s="141" t="s">
        <v>180</v>
      </c>
      <c r="F17" s="141" t="s">
        <v>203</v>
      </c>
      <c r="G17" s="141" t="s">
        <v>204</v>
      </c>
      <c r="H17" s="141">
        <v>26</v>
      </c>
      <c r="I17" s="172"/>
      <c r="J17" s="141" t="s">
        <v>115</v>
      </c>
      <c r="K17" s="173" t="s">
        <v>115</v>
      </c>
      <c r="L17" s="173" t="s">
        <v>115</v>
      </c>
      <c r="M17" s="173" t="s">
        <v>115</v>
      </c>
      <c r="N17" s="173" t="s">
        <v>115</v>
      </c>
      <c r="O17" s="173" t="s">
        <v>115</v>
      </c>
      <c r="P17" s="173" t="s">
        <v>115</v>
      </c>
      <c r="Q17" s="173" t="s">
        <v>115</v>
      </c>
      <c r="R17" s="173" t="s">
        <v>115</v>
      </c>
      <c r="S17" s="173" t="s">
        <v>115</v>
      </c>
      <c r="T17" s="173" t="s">
        <v>115</v>
      </c>
      <c r="U17" s="173" t="s">
        <v>115</v>
      </c>
      <c r="V17" s="173" t="s">
        <v>115</v>
      </c>
      <c r="W17" s="173" t="s">
        <v>115</v>
      </c>
      <c r="X17" s="173" t="s">
        <v>115</v>
      </c>
      <c r="Y17" s="173" t="s">
        <v>115</v>
      </c>
      <c r="Z17" s="173" t="s">
        <v>115</v>
      </c>
      <c r="AA17" s="173" t="s">
        <v>115</v>
      </c>
      <c r="AB17" s="173" t="s">
        <v>115</v>
      </c>
      <c r="AC17" s="173" t="s">
        <v>115</v>
      </c>
      <c r="AD17" s="173" t="s">
        <v>115</v>
      </c>
      <c r="AE17" s="173" t="s">
        <v>115</v>
      </c>
      <c r="AF17" s="173" t="s">
        <v>115</v>
      </c>
      <c r="AG17" s="173" t="s">
        <v>115</v>
      </c>
      <c r="AH17" s="173" t="s">
        <v>115</v>
      </c>
      <c r="AI17" s="173" t="s">
        <v>115</v>
      </c>
      <c r="AJ17" s="173" t="s">
        <v>115</v>
      </c>
      <c r="AK17" s="173" t="s">
        <v>115</v>
      </c>
      <c r="AL17" s="141"/>
      <c r="AM17" s="188"/>
      <c r="AN17" s="188"/>
      <c r="AO17" s="188"/>
      <c r="AP17" s="188"/>
      <c r="AQ17" s="188"/>
      <c r="AR17" s="188"/>
      <c r="AS17" s="188"/>
      <c r="AT17" s="188"/>
      <c r="AU17" s="188"/>
      <c r="AV17" s="188"/>
      <c r="AW17" s="188"/>
      <c r="AX17" s="188"/>
      <c r="AY17" s="188"/>
      <c r="AZ17" s="188"/>
      <c r="BA17" s="188"/>
      <c r="BB17" s="188"/>
      <c r="BC17" s="188"/>
      <c r="BD17" s="188"/>
      <c r="BE17" s="188"/>
      <c r="BF17" s="188"/>
      <c r="BG17" s="188"/>
      <c r="BH17" s="188"/>
      <c r="BI17" s="188"/>
      <c r="BJ17" s="188"/>
      <c r="BK17" s="188"/>
      <c r="BL17" s="188"/>
      <c r="BM17" s="188"/>
      <c r="BN17" s="188"/>
      <c r="BO17" s="188"/>
      <c r="BP17" s="188"/>
    </row>
    <row r="18" spans="2:68" x14ac:dyDescent="0.15">
      <c r="B18" s="170">
        <v>11626</v>
      </c>
      <c r="C18" s="170" t="s">
        <v>205</v>
      </c>
      <c r="D18" s="170" t="s">
        <v>179</v>
      </c>
      <c r="E18" s="170" t="s">
        <v>180</v>
      </c>
      <c r="F18" s="170" t="s">
        <v>206</v>
      </c>
      <c r="G18" s="170" t="s">
        <v>206</v>
      </c>
      <c r="H18" s="170">
        <v>74</v>
      </c>
      <c r="I18" s="169"/>
      <c r="J18" s="170" t="s">
        <v>83</v>
      </c>
      <c r="K18" s="171" t="s">
        <v>83</v>
      </c>
      <c r="L18" s="171" t="s">
        <v>83</v>
      </c>
      <c r="M18" s="171" t="s">
        <v>83</v>
      </c>
      <c r="N18" s="171" t="s">
        <v>83</v>
      </c>
      <c r="O18" s="171" t="s">
        <v>83</v>
      </c>
      <c r="P18" s="171" t="s">
        <v>83</v>
      </c>
      <c r="Q18" s="171" t="s">
        <v>83</v>
      </c>
      <c r="R18" s="171" t="s">
        <v>83</v>
      </c>
      <c r="S18" s="171" t="s">
        <v>83</v>
      </c>
      <c r="T18" s="171" t="s">
        <v>83</v>
      </c>
      <c r="U18" s="171" t="s">
        <v>83</v>
      </c>
      <c r="V18" s="171" t="s">
        <v>83</v>
      </c>
      <c r="W18" s="171" t="s">
        <v>83</v>
      </c>
      <c r="X18" s="171" t="s">
        <v>83</v>
      </c>
      <c r="Y18" s="171" t="s">
        <v>83</v>
      </c>
      <c r="Z18" s="171" t="s">
        <v>83</v>
      </c>
      <c r="AA18" s="171" t="s">
        <v>83</v>
      </c>
      <c r="AB18" s="171" t="s">
        <v>83</v>
      </c>
      <c r="AC18" s="171" t="s">
        <v>83</v>
      </c>
      <c r="AD18" s="171" t="s">
        <v>83</v>
      </c>
      <c r="AE18" s="171" t="s">
        <v>83</v>
      </c>
      <c r="AF18" s="171" t="s">
        <v>83</v>
      </c>
      <c r="AG18" s="171" t="s">
        <v>83</v>
      </c>
      <c r="AH18" s="171" t="s">
        <v>83</v>
      </c>
      <c r="AI18" s="171" t="s">
        <v>83</v>
      </c>
      <c r="AJ18" s="171" t="s">
        <v>83</v>
      </c>
      <c r="AK18" s="171" t="s">
        <v>83</v>
      </c>
      <c r="AL18" s="141"/>
      <c r="AM18" s="188"/>
      <c r="AN18" s="188"/>
      <c r="AO18" s="188"/>
      <c r="AP18" s="188"/>
      <c r="AQ18" s="188"/>
      <c r="AR18" s="188"/>
      <c r="AS18" s="188"/>
      <c r="AT18" s="188"/>
      <c r="AU18" s="188"/>
      <c r="AV18" s="188"/>
      <c r="AW18" s="188"/>
      <c r="AX18" s="188"/>
      <c r="AY18" s="188"/>
      <c r="AZ18" s="188"/>
      <c r="BA18" s="188"/>
      <c r="BB18" s="188"/>
      <c r="BC18" s="188"/>
      <c r="BD18" s="188"/>
      <c r="BE18" s="188"/>
      <c r="BF18" s="188"/>
      <c r="BG18" s="188"/>
      <c r="BH18" s="188"/>
      <c r="BI18" s="188"/>
      <c r="BJ18" s="188"/>
      <c r="BK18" s="188"/>
      <c r="BL18" s="188"/>
      <c r="BM18" s="188"/>
      <c r="BN18" s="188"/>
      <c r="BO18" s="188"/>
      <c r="BP18" s="188"/>
    </row>
    <row r="19" spans="2:68" x14ac:dyDescent="0.15">
      <c r="B19" s="141">
        <v>52057</v>
      </c>
      <c r="C19" s="141" t="s">
        <v>207</v>
      </c>
      <c r="D19" s="141" t="s">
        <v>179</v>
      </c>
      <c r="E19" s="141" t="s">
        <v>180</v>
      </c>
      <c r="F19" s="141" t="s">
        <v>208</v>
      </c>
      <c r="G19" s="141" t="s">
        <v>208</v>
      </c>
      <c r="H19" s="141">
        <v>210</v>
      </c>
      <c r="I19" s="172"/>
      <c r="J19" s="141" t="s">
        <v>83</v>
      </c>
      <c r="K19" s="173" t="s">
        <v>83</v>
      </c>
      <c r="L19" s="173" t="s">
        <v>83</v>
      </c>
      <c r="M19" s="173" t="s">
        <v>83</v>
      </c>
      <c r="N19" s="173" t="s">
        <v>83</v>
      </c>
      <c r="O19" s="173" t="s">
        <v>83</v>
      </c>
      <c r="P19" s="173" t="s">
        <v>83</v>
      </c>
      <c r="Q19" s="173" t="s">
        <v>83</v>
      </c>
      <c r="R19" s="173" t="s">
        <v>83</v>
      </c>
      <c r="S19" s="173" t="s">
        <v>83</v>
      </c>
      <c r="T19" s="173" t="s">
        <v>83</v>
      </c>
      <c r="U19" s="173" t="s">
        <v>83</v>
      </c>
      <c r="V19" s="173" t="s">
        <v>83</v>
      </c>
      <c r="W19" s="173" t="s">
        <v>83</v>
      </c>
      <c r="X19" s="173" t="s">
        <v>83</v>
      </c>
      <c r="Y19" s="173" t="s">
        <v>83</v>
      </c>
      <c r="Z19" s="173" t="s">
        <v>83</v>
      </c>
      <c r="AA19" s="173" t="s">
        <v>83</v>
      </c>
      <c r="AB19" s="173" t="s">
        <v>83</v>
      </c>
      <c r="AC19" s="173" t="s">
        <v>83</v>
      </c>
      <c r="AD19" s="173" t="s">
        <v>83</v>
      </c>
      <c r="AE19" s="173" t="s">
        <v>83</v>
      </c>
      <c r="AF19" s="173" t="s">
        <v>83</v>
      </c>
      <c r="AG19" s="173" t="s">
        <v>83</v>
      </c>
      <c r="AH19" s="173" t="s">
        <v>83</v>
      </c>
      <c r="AI19" s="173" t="s">
        <v>83</v>
      </c>
      <c r="AJ19" s="173" t="s">
        <v>83</v>
      </c>
      <c r="AK19" s="173" t="s">
        <v>83</v>
      </c>
      <c r="AL19" s="141"/>
      <c r="AM19" s="188"/>
      <c r="AN19" s="188"/>
      <c r="AO19" s="188"/>
      <c r="AP19" s="188"/>
      <c r="AQ19" s="188"/>
      <c r="AR19" s="188"/>
      <c r="AS19" s="188"/>
      <c r="AT19" s="188"/>
      <c r="AU19" s="188"/>
      <c r="AV19" s="188"/>
      <c r="AW19" s="188"/>
      <c r="AX19" s="188"/>
      <c r="AY19" s="188"/>
      <c r="AZ19" s="188"/>
      <c r="BA19" s="188"/>
      <c r="BB19" s="188"/>
      <c r="BC19" s="188"/>
      <c r="BD19" s="188"/>
      <c r="BE19" s="188"/>
      <c r="BF19" s="188"/>
      <c r="BG19" s="188"/>
      <c r="BH19" s="188"/>
      <c r="BI19" s="188"/>
      <c r="BJ19" s="188"/>
      <c r="BK19" s="188"/>
      <c r="BL19" s="188"/>
      <c r="BM19" s="188"/>
      <c r="BN19" s="188"/>
      <c r="BO19" s="188"/>
      <c r="BP19" s="188"/>
    </row>
    <row r="20" spans="2:68" x14ac:dyDescent="0.15">
      <c r="B20" s="170">
        <v>11625</v>
      </c>
      <c r="C20" s="170" t="s">
        <v>209</v>
      </c>
      <c r="D20" s="170" t="s">
        <v>179</v>
      </c>
      <c r="E20" s="170" t="s">
        <v>180</v>
      </c>
      <c r="F20" s="170" t="s">
        <v>165</v>
      </c>
      <c r="G20" s="170" t="s">
        <v>210</v>
      </c>
      <c r="H20" s="170">
        <v>97</v>
      </c>
      <c r="I20" s="169"/>
      <c r="J20" s="170" t="s">
        <v>83</v>
      </c>
      <c r="K20" s="171" t="s">
        <v>83</v>
      </c>
      <c r="L20" s="171" t="s">
        <v>83</v>
      </c>
      <c r="M20" s="171" t="s">
        <v>83</v>
      </c>
      <c r="N20" s="171" t="s">
        <v>83</v>
      </c>
      <c r="O20" s="171" t="s">
        <v>83</v>
      </c>
      <c r="P20" s="171" t="s">
        <v>83</v>
      </c>
      <c r="Q20" s="171" t="s">
        <v>83</v>
      </c>
      <c r="R20" s="171" t="s">
        <v>83</v>
      </c>
      <c r="S20" s="171" t="s">
        <v>83</v>
      </c>
      <c r="T20" s="171" t="s">
        <v>83</v>
      </c>
      <c r="U20" s="171" t="s">
        <v>83</v>
      </c>
      <c r="V20" s="171" t="s">
        <v>83</v>
      </c>
      <c r="W20" s="171" t="s">
        <v>83</v>
      </c>
      <c r="X20" s="171" t="s">
        <v>83</v>
      </c>
      <c r="Y20" s="171" t="s">
        <v>83</v>
      </c>
      <c r="Z20" s="171" t="s">
        <v>83</v>
      </c>
      <c r="AA20" s="171" t="s">
        <v>83</v>
      </c>
      <c r="AB20" s="171" t="s">
        <v>83</v>
      </c>
      <c r="AC20" s="171" t="s">
        <v>83</v>
      </c>
      <c r="AD20" s="171" t="s">
        <v>83</v>
      </c>
      <c r="AE20" s="171" t="s">
        <v>83</v>
      </c>
      <c r="AF20" s="171" t="s">
        <v>83</v>
      </c>
      <c r="AG20" s="171" t="s">
        <v>83</v>
      </c>
      <c r="AH20" s="171" t="s">
        <v>83</v>
      </c>
      <c r="AI20" s="171" t="s">
        <v>83</v>
      </c>
      <c r="AJ20" s="171" t="s">
        <v>83</v>
      </c>
      <c r="AK20" s="171" t="s">
        <v>83</v>
      </c>
      <c r="AL20" s="141"/>
      <c r="AM20" s="188"/>
      <c r="AN20" s="188"/>
      <c r="AO20" s="188"/>
      <c r="AP20" s="188"/>
      <c r="AQ20" s="188"/>
      <c r="AR20" s="188"/>
      <c r="AS20" s="188"/>
      <c r="AT20" s="188"/>
      <c r="AU20" s="188"/>
      <c r="AV20" s="188"/>
      <c r="AW20" s="188"/>
      <c r="AX20" s="188"/>
      <c r="AY20" s="188"/>
      <c r="AZ20" s="188"/>
      <c r="BA20" s="188"/>
      <c r="BB20" s="188"/>
      <c r="BC20" s="188"/>
      <c r="BD20" s="188"/>
      <c r="BE20" s="188"/>
      <c r="BF20" s="188"/>
      <c r="BG20" s="188"/>
      <c r="BH20" s="188"/>
      <c r="BI20" s="188"/>
      <c r="BJ20" s="188"/>
      <c r="BK20" s="188"/>
      <c r="BL20" s="188"/>
      <c r="BM20" s="188"/>
      <c r="BN20" s="188"/>
      <c r="BO20" s="188"/>
      <c r="BP20" s="188"/>
    </row>
    <row r="21" spans="2:68" x14ac:dyDescent="0.15">
      <c r="B21" s="141">
        <v>27796</v>
      </c>
      <c r="C21" s="141" t="s">
        <v>211</v>
      </c>
      <c r="D21" s="141" t="s">
        <v>179</v>
      </c>
      <c r="E21" s="141" t="s">
        <v>180</v>
      </c>
      <c r="F21" s="141" t="s">
        <v>212</v>
      </c>
      <c r="G21" s="141" t="s">
        <v>213</v>
      </c>
      <c r="H21" s="141">
        <v>394</v>
      </c>
      <c r="I21" s="172"/>
      <c r="J21" s="141" t="s">
        <v>83</v>
      </c>
      <c r="K21" s="173" t="s">
        <v>83</v>
      </c>
      <c r="L21" s="173" t="s">
        <v>83</v>
      </c>
      <c r="M21" s="173" t="s">
        <v>83</v>
      </c>
      <c r="N21" s="173" t="s">
        <v>83</v>
      </c>
      <c r="O21" s="173" t="s">
        <v>83</v>
      </c>
      <c r="P21" s="173" t="s">
        <v>83</v>
      </c>
      <c r="Q21" s="173" t="s">
        <v>83</v>
      </c>
      <c r="R21" s="173" t="s">
        <v>83</v>
      </c>
      <c r="S21" s="173" t="s">
        <v>83</v>
      </c>
      <c r="T21" s="173" t="s">
        <v>83</v>
      </c>
      <c r="U21" s="173" t="s">
        <v>83</v>
      </c>
      <c r="V21" s="173" t="s">
        <v>83</v>
      </c>
      <c r="W21" s="173" t="s">
        <v>83</v>
      </c>
      <c r="X21" s="173" t="s">
        <v>83</v>
      </c>
      <c r="Y21" s="173" t="s">
        <v>83</v>
      </c>
      <c r="Z21" s="173" t="s">
        <v>83</v>
      </c>
      <c r="AA21" s="173" t="s">
        <v>83</v>
      </c>
      <c r="AB21" s="173" t="s">
        <v>83</v>
      </c>
      <c r="AC21" s="173" t="s">
        <v>83</v>
      </c>
      <c r="AD21" s="173" t="s">
        <v>83</v>
      </c>
      <c r="AE21" s="173" t="s">
        <v>83</v>
      </c>
      <c r="AF21" s="173" t="s">
        <v>83</v>
      </c>
      <c r="AG21" s="173" t="s">
        <v>83</v>
      </c>
      <c r="AH21" s="173" t="s">
        <v>83</v>
      </c>
      <c r="AI21" s="173" t="s">
        <v>83</v>
      </c>
      <c r="AJ21" s="173" t="s">
        <v>83</v>
      </c>
      <c r="AK21" s="173" t="s">
        <v>83</v>
      </c>
      <c r="AL21" s="141"/>
      <c r="AM21" s="188"/>
      <c r="AN21" s="188"/>
      <c r="AO21" s="188"/>
      <c r="AP21" s="188"/>
      <c r="AQ21" s="188"/>
      <c r="AR21" s="188"/>
      <c r="AS21" s="188"/>
      <c r="AT21" s="188"/>
      <c r="AU21" s="188"/>
      <c r="AV21" s="188"/>
      <c r="AW21" s="188"/>
      <c r="AX21" s="188"/>
      <c r="AY21" s="188"/>
      <c r="AZ21" s="188"/>
      <c r="BA21" s="188"/>
      <c r="BB21" s="188"/>
      <c r="BC21" s="188"/>
      <c r="BD21" s="188"/>
      <c r="BE21" s="188"/>
      <c r="BF21" s="188"/>
      <c r="BG21" s="188"/>
      <c r="BH21" s="188"/>
      <c r="BI21" s="188"/>
      <c r="BJ21" s="188"/>
      <c r="BK21" s="188"/>
      <c r="BL21" s="188"/>
      <c r="BM21" s="188"/>
      <c r="BN21" s="188"/>
      <c r="BO21" s="188"/>
      <c r="BP21" s="188"/>
    </row>
    <row r="22" spans="2:68" x14ac:dyDescent="0.15">
      <c r="B22" s="170">
        <v>11622</v>
      </c>
      <c r="C22" s="170" t="s">
        <v>214</v>
      </c>
      <c r="D22" s="170" t="s">
        <v>179</v>
      </c>
      <c r="E22" s="170" t="s">
        <v>180</v>
      </c>
      <c r="F22" s="170" t="s">
        <v>215</v>
      </c>
      <c r="G22" s="170" t="s">
        <v>216</v>
      </c>
      <c r="H22" s="170">
        <v>73</v>
      </c>
      <c r="I22" s="169"/>
      <c r="J22" s="170" t="s">
        <v>83</v>
      </c>
      <c r="K22" s="171" t="s">
        <v>83</v>
      </c>
      <c r="L22" s="171" t="s">
        <v>83</v>
      </c>
      <c r="M22" s="171" t="s">
        <v>83</v>
      </c>
      <c r="N22" s="171" t="s">
        <v>83</v>
      </c>
      <c r="O22" s="171" t="s">
        <v>83</v>
      </c>
      <c r="P22" s="171" t="s">
        <v>83</v>
      </c>
      <c r="Q22" s="171" t="s">
        <v>83</v>
      </c>
      <c r="R22" s="171" t="s">
        <v>83</v>
      </c>
      <c r="S22" s="171" t="s">
        <v>83</v>
      </c>
      <c r="T22" s="171" t="s">
        <v>83</v>
      </c>
      <c r="U22" s="171" t="s">
        <v>83</v>
      </c>
      <c r="V22" s="171" t="s">
        <v>83</v>
      </c>
      <c r="W22" s="171" t="s">
        <v>83</v>
      </c>
      <c r="X22" s="171" t="s">
        <v>83</v>
      </c>
      <c r="Y22" s="171" t="s">
        <v>83</v>
      </c>
      <c r="Z22" s="171" t="s">
        <v>83</v>
      </c>
      <c r="AA22" s="171" t="s">
        <v>83</v>
      </c>
      <c r="AB22" s="171" t="s">
        <v>83</v>
      </c>
      <c r="AC22" s="171" t="s">
        <v>83</v>
      </c>
      <c r="AD22" s="171" t="s">
        <v>83</v>
      </c>
      <c r="AE22" s="171" t="s">
        <v>83</v>
      </c>
      <c r="AF22" s="171" t="s">
        <v>83</v>
      </c>
      <c r="AG22" s="171" t="s">
        <v>83</v>
      </c>
      <c r="AH22" s="171" t="s">
        <v>83</v>
      </c>
      <c r="AI22" s="171" t="s">
        <v>83</v>
      </c>
      <c r="AJ22" s="171" t="s">
        <v>83</v>
      </c>
      <c r="AK22" s="171" t="s">
        <v>83</v>
      </c>
      <c r="AL22" s="141"/>
      <c r="AM22" s="188"/>
      <c r="AN22" s="188"/>
      <c r="AO22" s="188"/>
      <c r="AP22" s="188"/>
      <c r="AQ22" s="188"/>
      <c r="AR22" s="188"/>
      <c r="AS22" s="188"/>
      <c r="AT22" s="188"/>
      <c r="AU22" s="188"/>
      <c r="AV22" s="188"/>
      <c r="AW22" s="188"/>
      <c r="AX22" s="188"/>
      <c r="AY22" s="188"/>
      <c r="AZ22" s="188"/>
      <c r="BA22" s="188"/>
      <c r="BB22" s="188"/>
      <c r="BC22" s="188"/>
      <c r="BD22" s="188"/>
      <c r="BE22" s="188"/>
      <c r="BF22" s="188"/>
      <c r="BG22" s="188"/>
      <c r="BH22" s="188"/>
      <c r="BI22" s="188"/>
      <c r="BJ22" s="188"/>
      <c r="BK22" s="188"/>
      <c r="BL22" s="188"/>
      <c r="BM22" s="188"/>
      <c r="BN22" s="188"/>
      <c r="BO22" s="188"/>
      <c r="BP22" s="188"/>
    </row>
    <row r="23" spans="2:68" x14ac:dyDescent="0.15">
      <c r="B23" s="141">
        <v>11628</v>
      </c>
      <c r="C23" s="141" t="s">
        <v>217</v>
      </c>
      <c r="D23" s="141" t="s">
        <v>179</v>
      </c>
      <c r="E23" s="141" t="s">
        <v>180</v>
      </c>
      <c r="F23" s="141" t="s">
        <v>218</v>
      </c>
      <c r="G23" s="141" t="s">
        <v>219</v>
      </c>
      <c r="H23" s="141">
        <v>110</v>
      </c>
      <c r="I23" s="172"/>
      <c r="J23" s="141" t="s">
        <v>83</v>
      </c>
      <c r="K23" s="173" t="s">
        <v>83</v>
      </c>
      <c r="L23" s="173" t="s">
        <v>83</v>
      </c>
      <c r="M23" s="173" t="s">
        <v>83</v>
      </c>
      <c r="N23" s="173" t="s">
        <v>83</v>
      </c>
      <c r="O23" s="173" t="s">
        <v>83</v>
      </c>
      <c r="P23" s="173" t="s">
        <v>83</v>
      </c>
      <c r="Q23" s="173" t="s">
        <v>83</v>
      </c>
      <c r="R23" s="173" t="s">
        <v>83</v>
      </c>
      <c r="S23" s="173" t="s">
        <v>83</v>
      </c>
      <c r="T23" s="173" t="s">
        <v>83</v>
      </c>
      <c r="U23" s="173" t="s">
        <v>83</v>
      </c>
      <c r="V23" s="173" t="s">
        <v>83</v>
      </c>
      <c r="W23" s="173" t="s">
        <v>83</v>
      </c>
      <c r="X23" s="173" t="s">
        <v>83</v>
      </c>
      <c r="Y23" s="173" t="s">
        <v>83</v>
      </c>
      <c r="Z23" s="173" t="s">
        <v>83</v>
      </c>
      <c r="AA23" s="173" t="s">
        <v>83</v>
      </c>
      <c r="AB23" s="173" t="s">
        <v>83</v>
      </c>
      <c r="AC23" s="173" t="s">
        <v>83</v>
      </c>
      <c r="AD23" s="173" t="s">
        <v>83</v>
      </c>
      <c r="AE23" s="173" t="s">
        <v>83</v>
      </c>
      <c r="AF23" s="173" t="s">
        <v>83</v>
      </c>
      <c r="AG23" s="173" t="s">
        <v>83</v>
      </c>
      <c r="AH23" s="173" t="s">
        <v>83</v>
      </c>
      <c r="AI23" s="173" t="s">
        <v>83</v>
      </c>
      <c r="AJ23" s="173" t="s">
        <v>83</v>
      </c>
      <c r="AK23" s="173" t="s">
        <v>83</v>
      </c>
      <c r="AL23" s="141"/>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row>
    <row r="24" spans="2:68" x14ac:dyDescent="0.15">
      <c r="B24" s="170">
        <v>11623</v>
      </c>
      <c r="C24" s="170" t="s">
        <v>220</v>
      </c>
      <c r="D24" s="170" t="s">
        <v>179</v>
      </c>
      <c r="E24" s="170" t="s">
        <v>180</v>
      </c>
      <c r="F24" s="170" t="s">
        <v>221</v>
      </c>
      <c r="G24" s="170" t="s">
        <v>222</v>
      </c>
      <c r="H24" s="170">
        <v>130</v>
      </c>
      <c r="I24" s="169"/>
      <c r="J24" s="170" t="s">
        <v>83</v>
      </c>
      <c r="K24" s="171" t="s">
        <v>83</v>
      </c>
      <c r="L24" s="171" t="s">
        <v>83</v>
      </c>
      <c r="M24" s="171" t="s">
        <v>83</v>
      </c>
      <c r="N24" s="171" t="s">
        <v>83</v>
      </c>
      <c r="O24" s="171" t="s">
        <v>83</v>
      </c>
      <c r="P24" s="171" t="s">
        <v>83</v>
      </c>
      <c r="Q24" s="171" t="s">
        <v>83</v>
      </c>
      <c r="R24" s="171" t="s">
        <v>83</v>
      </c>
      <c r="S24" s="171" t="s">
        <v>83</v>
      </c>
      <c r="T24" s="171" t="s">
        <v>83</v>
      </c>
      <c r="U24" s="171" t="s">
        <v>83</v>
      </c>
      <c r="V24" s="171" t="s">
        <v>83</v>
      </c>
      <c r="W24" s="171" t="s">
        <v>83</v>
      </c>
      <c r="X24" s="171" t="s">
        <v>83</v>
      </c>
      <c r="Y24" s="171" t="s">
        <v>83</v>
      </c>
      <c r="Z24" s="171" t="s">
        <v>83</v>
      </c>
      <c r="AA24" s="171" t="s">
        <v>83</v>
      </c>
      <c r="AB24" s="171" t="s">
        <v>83</v>
      </c>
      <c r="AC24" s="171" t="s">
        <v>83</v>
      </c>
      <c r="AD24" s="171" t="s">
        <v>83</v>
      </c>
      <c r="AE24" s="171" t="s">
        <v>83</v>
      </c>
      <c r="AF24" s="171" t="s">
        <v>83</v>
      </c>
      <c r="AG24" s="171" t="s">
        <v>83</v>
      </c>
      <c r="AH24" s="171" t="s">
        <v>83</v>
      </c>
      <c r="AI24" s="171" t="s">
        <v>83</v>
      </c>
      <c r="AJ24" s="171" t="s">
        <v>83</v>
      </c>
      <c r="AK24" s="171" t="s">
        <v>83</v>
      </c>
      <c r="AL24" s="141"/>
      <c r="AM24" s="188"/>
      <c r="AN24" s="188"/>
      <c r="AO24" s="188"/>
      <c r="AP24" s="188"/>
      <c r="AQ24" s="188"/>
      <c r="AR24" s="188"/>
      <c r="AS24" s="188"/>
      <c r="AT24" s="188"/>
      <c r="AU24" s="188"/>
      <c r="AV24" s="188"/>
      <c r="AW24" s="188"/>
      <c r="AX24" s="188"/>
      <c r="AY24" s="188"/>
      <c r="AZ24" s="188"/>
      <c r="BA24" s="188"/>
      <c r="BB24" s="188"/>
      <c r="BC24" s="188"/>
      <c r="BD24" s="188"/>
      <c r="BE24" s="188"/>
      <c r="BF24" s="188"/>
      <c r="BG24" s="188"/>
      <c r="BH24" s="188"/>
      <c r="BI24" s="188"/>
      <c r="BJ24" s="188"/>
      <c r="BK24" s="188"/>
      <c r="BL24" s="188"/>
      <c r="BM24" s="188"/>
      <c r="BN24" s="188"/>
      <c r="BO24" s="188"/>
      <c r="BP24" s="188"/>
    </row>
    <row r="25" spans="2:68" x14ac:dyDescent="0.15">
      <c r="B25" s="141">
        <v>17367</v>
      </c>
      <c r="C25" s="141" t="s">
        <v>223</v>
      </c>
      <c r="D25" s="141" t="s">
        <v>179</v>
      </c>
      <c r="E25" s="141" t="s">
        <v>180</v>
      </c>
      <c r="F25" s="141" t="s">
        <v>134</v>
      </c>
      <c r="G25" s="141" t="s">
        <v>224</v>
      </c>
      <c r="H25" s="141">
        <v>90</v>
      </c>
      <c r="I25" s="172"/>
      <c r="J25" s="141" t="s">
        <v>83</v>
      </c>
      <c r="K25" s="173" t="s">
        <v>83</v>
      </c>
      <c r="L25" s="173" t="s">
        <v>83</v>
      </c>
      <c r="M25" s="173" t="s">
        <v>83</v>
      </c>
      <c r="N25" s="173" t="s">
        <v>83</v>
      </c>
      <c r="O25" s="173" t="s">
        <v>83</v>
      </c>
      <c r="P25" s="173" t="s">
        <v>83</v>
      </c>
      <c r="Q25" s="173" t="s">
        <v>83</v>
      </c>
      <c r="R25" s="173" t="s">
        <v>83</v>
      </c>
      <c r="S25" s="173" t="s">
        <v>83</v>
      </c>
      <c r="T25" s="173" t="s">
        <v>83</v>
      </c>
      <c r="U25" s="173" t="s">
        <v>83</v>
      </c>
      <c r="V25" s="173" t="s">
        <v>83</v>
      </c>
      <c r="W25" s="173" t="s">
        <v>83</v>
      </c>
      <c r="X25" s="173" t="s">
        <v>83</v>
      </c>
      <c r="Y25" s="173" t="s">
        <v>83</v>
      </c>
      <c r="Z25" s="173" t="s">
        <v>83</v>
      </c>
      <c r="AA25" s="173" t="s">
        <v>83</v>
      </c>
      <c r="AB25" s="173" t="s">
        <v>83</v>
      </c>
      <c r="AC25" s="173" t="s">
        <v>83</v>
      </c>
      <c r="AD25" s="173" t="s">
        <v>83</v>
      </c>
      <c r="AE25" s="173" t="s">
        <v>83</v>
      </c>
      <c r="AF25" s="173" t="s">
        <v>83</v>
      </c>
      <c r="AG25" s="173" t="s">
        <v>83</v>
      </c>
      <c r="AH25" s="173" t="s">
        <v>83</v>
      </c>
      <c r="AI25" s="173" t="s">
        <v>83</v>
      </c>
      <c r="AJ25" s="173" t="s">
        <v>83</v>
      </c>
      <c r="AK25" s="173" t="s">
        <v>83</v>
      </c>
      <c r="AL25" s="141"/>
      <c r="AM25" s="188"/>
      <c r="AN25" s="188"/>
      <c r="AO25" s="188"/>
      <c r="AP25" s="188"/>
      <c r="AQ25" s="188"/>
      <c r="AR25" s="188"/>
      <c r="AS25" s="188"/>
      <c r="AT25" s="188"/>
      <c r="AU25" s="188"/>
      <c r="AV25" s="188"/>
      <c r="AW25" s="188"/>
      <c r="AX25" s="188"/>
      <c r="AY25" s="188"/>
      <c r="AZ25" s="188"/>
      <c r="BA25" s="188"/>
      <c r="BB25" s="188"/>
      <c r="BC25" s="188"/>
      <c r="BD25" s="188"/>
      <c r="BE25" s="188"/>
      <c r="BF25" s="188"/>
      <c r="BG25" s="188"/>
      <c r="BH25" s="188"/>
      <c r="BI25" s="188"/>
      <c r="BJ25" s="188"/>
      <c r="BK25" s="188"/>
      <c r="BL25" s="188"/>
      <c r="BM25" s="188"/>
      <c r="BN25" s="188"/>
      <c r="BO25" s="188"/>
      <c r="BP25" s="188"/>
    </row>
    <row r="26" spans="2:68" x14ac:dyDescent="0.15">
      <c r="B26" s="170">
        <v>17378</v>
      </c>
      <c r="C26" s="170" t="s">
        <v>225</v>
      </c>
      <c r="D26" s="170" t="s">
        <v>179</v>
      </c>
      <c r="E26" s="170" t="s">
        <v>180</v>
      </c>
      <c r="F26" s="170" t="s">
        <v>226</v>
      </c>
      <c r="G26" s="170" t="s">
        <v>226</v>
      </c>
      <c r="H26" s="170">
        <v>78</v>
      </c>
      <c r="I26" s="169" t="s">
        <v>87</v>
      </c>
      <c r="J26" s="170" t="s">
        <v>83</v>
      </c>
      <c r="K26" s="171" t="s">
        <v>83</v>
      </c>
      <c r="L26" s="171" t="s">
        <v>83</v>
      </c>
      <c r="M26" s="171" t="s">
        <v>83</v>
      </c>
      <c r="N26" s="171" t="s">
        <v>83</v>
      </c>
      <c r="O26" s="171" t="s">
        <v>83</v>
      </c>
      <c r="P26" s="171" t="s">
        <v>83</v>
      </c>
      <c r="Q26" s="171" t="s">
        <v>83</v>
      </c>
      <c r="R26" s="171" t="s">
        <v>83</v>
      </c>
      <c r="S26" s="171" t="s">
        <v>83</v>
      </c>
      <c r="T26" s="171" t="s">
        <v>83</v>
      </c>
      <c r="U26" s="171" t="s">
        <v>83</v>
      </c>
      <c r="V26" s="171" t="s">
        <v>83</v>
      </c>
      <c r="W26" s="171" t="s">
        <v>83</v>
      </c>
      <c r="X26" s="171" t="s">
        <v>83</v>
      </c>
      <c r="Y26" s="171" t="s">
        <v>83</v>
      </c>
      <c r="Z26" s="171" t="s">
        <v>83</v>
      </c>
      <c r="AA26" s="171" t="s">
        <v>83</v>
      </c>
      <c r="AB26" s="171" t="s">
        <v>83</v>
      </c>
      <c r="AC26" s="171" t="s">
        <v>83</v>
      </c>
      <c r="AD26" s="171" t="s">
        <v>83</v>
      </c>
      <c r="AE26" s="171" t="s">
        <v>83</v>
      </c>
      <c r="AF26" s="171" t="s">
        <v>83</v>
      </c>
      <c r="AG26" s="171" t="s">
        <v>83</v>
      </c>
      <c r="AH26" s="171" t="s">
        <v>83</v>
      </c>
      <c r="AI26" s="171" t="s">
        <v>83</v>
      </c>
      <c r="AJ26" s="171" t="s">
        <v>83</v>
      </c>
      <c r="AK26" s="171" t="s">
        <v>83</v>
      </c>
      <c r="AL26" s="141"/>
      <c r="AM26" s="188"/>
      <c r="AN26" s="188"/>
      <c r="AO26" s="188"/>
      <c r="AP26" s="188"/>
      <c r="AQ26" s="188"/>
      <c r="AR26" s="188"/>
      <c r="AS26" s="188"/>
      <c r="AT26" s="188"/>
      <c r="AU26" s="188"/>
      <c r="AV26" s="188"/>
      <c r="AW26" s="188"/>
      <c r="AX26" s="188"/>
      <c r="AY26" s="188"/>
      <c r="AZ26" s="188"/>
      <c r="BA26" s="188"/>
      <c r="BB26" s="188"/>
      <c r="BC26" s="188"/>
      <c r="BD26" s="188"/>
      <c r="BE26" s="188"/>
      <c r="BF26" s="188"/>
      <c r="BG26" s="188"/>
      <c r="BH26" s="188"/>
      <c r="BI26" s="188"/>
      <c r="BJ26" s="188"/>
      <c r="BK26" s="188"/>
      <c r="BL26" s="188"/>
      <c r="BM26" s="188"/>
      <c r="BN26" s="188"/>
      <c r="BO26" s="188"/>
      <c r="BP26" s="188"/>
    </row>
    <row r="27" spans="2:68" x14ac:dyDescent="0.15">
      <c r="B27" s="141">
        <v>11624</v>
      </c>
      <c r="C27" s="141" t="s">
        <v>227</v>
      </c>
      <c r="D27" s="141" t="s">
        <v>179</v>
      </c>
      <c r="E27" s="141" t="s">
        <v>180</v>
      </c>
      <c r="F27" s="141" t="s">
        <v>107</v>
      </c>
      <c r="G27" s="141" t="s">
        <v>168</v>
      </c>
      <c r="H27" s="141">
        <v>128</v>
      </c>
      <c r="I27" s="172"/>
      <c r="J27" s="141" t="s">
        <v>83</v>
      </c>
      <c r="K27" s="173" t="s">
        <v>83</v>
      </c>
      <c r="L27" s="173" t="s">
        <v>83</v>
      </c>
      <c r="M27" s="173" t="s">
        <v>83</v>
      </c>
      <c r="N27" s="173" t="s">
        <v>83</v>
      </c>
      <c r="O27" s="173" t="s">
        <v>83</v>
      </c>
      <c r="P27" s="173" t="s">
        <v>83</v>
      </c>
      <c r="Q27" s="173" t="s">
        <v>83</v>
      </c>
      <c r="R27" s="173" t="s">
        <v>83</v>
      </c>
      <c r="S27" s="173" t="s">
        <v>83</v>
      </c>
      <c r="T27" s="173" t="s">
        <v>83</v>
      </c>
      <c r="U27" s="173" t="s">
        <v>83</v>
      </c>
      <c r="V27" s="173" t="s">
        <v>83</v>
      </c>
      <c r="W27" s="173" t="s">
        <v>83</v>
      </c>
      <c r="X27" s="173" t="s">
        <v>83</v>
      </c>
      <c r="Y27" s="173" t="s">
        <v>83</v>
      </c>
      <c r="Z27" s="173" t="s">
        <v>83</v>
      </c>
      <c r="AA27" s="173" t="s">
        <v>83</v>
      </c>
      <c r="AB27" s="173" t="s">
        <v>83</v>
      </c>
      <c r="AC27" s="173" t="s">
        <v>83</v>
      </c>
      <c r="AD27" s="173" t="s">
        <v>83</v>
      </c>
      <c r="AE27" s="173" t="s">
        <v>83</v>
      </c>
      <c r="AF27" s="173" t="s">
        <v>83</v>
      </c>
      <c r="AG27" s="173" t="s">
        <v>83</v>
      </c>
      <c r="AH27" s="173" t="s">
        <v>83</v>
      </c>
      <c r="AI27" s="173" t="s">
        <v>83</v>
      </c>
      <c r="AJ27" s="173" t="s">
        <v>83</v>
      </c>
      <c r="AK27" s="173" t="s">
        <v>83</v>
      </c>
      <c r="AL27" s="141"/>
      <c r="AM27" s="188"/>
      <c r="AN27" s="188"/>
      <c r="AO27" s="188"/>
      <c r="AP27" s="188"/>
      <c r="AQ27" s="188"/>
      <c r="AR27" s="188"/>
      <c r="AS27" s="188"/>
      <c r="AT27" s="188"/>
      <c r="AU27" s="188"/>
      <c r="AV27" s="188"/>
      <c r="AW27" s="188"/>
      <c r="AX27" s="188"/>
      <c r="AY27" s="188"/>
      <c r="AZ27" s="188"/>
      <c r="BA27" s="188"/>
      <c r="BB27" s="188"/>
      <c r="BC27" s="188"/>
      <c r="BD27" s="188"/>
      <c r="BE27" s="188"/>
      <c r="BF27" s="188"/>
      <c r="BG27" s="188"/>
      <c r="BH27" s="188"/>
      <c r="BI27" s="188"/>
      <c r="BJ27" s="188"/>
      <c r="BK27" s="188"/>
      <c r="BL27" s="188"/>
      <c r="BM27" s="188"/>
      <c r="BN27" s="188"/>
      <c r="BO27" s="188"/>
      <c r="BP27" s="188"/>
    </row>
    <row r="28" spans="2:68" x14ac:dyDescent="0.15">
      <c r="B28" s="170">
        <v>17379</v>
      </c>
      <c r="C28" s="170" t="s">
        <v>228</v>
      </c>
      <c r="D28" s="170" t="s">
        <v>179</v>
      </c>
      <c r="E28" s="170" t="s">
        <v>180</v>
      </c>
      <c r="F28" s="170" t="s">
        <v>165</v>
      </c>
      <c r="G28" s="170" t="s">
        <v>229</v>
      </c>
      <c r="H28" s="170">
        <v>115</v>
      </c>
      <c r="I28" s="169"/>
      <c r="J28" s="170" t="s">
        <v>83</v>
      </c>
      <c r="K28" s="171" t="s">
        <v>83</v>
      </c>
      <c r="L28" s="171" t="s">
        <v>83</v>
      </c>
      <c r="M28" s="171" t="s">
        <v>83</v>
      </c>
      <c r="N28" s="171" t="s">
        <v>83</v>
      </c>
      <c r="O28" s="171" t="s">
        <v>83</v>
      </c>
      <c r="P28" s="171" t="s">
        <v>83</v>
      </c>
      <c r="Q28" s="171" t="s">
        <v>83</v>
      </c>
      <c r="R28" s="171" t="s">
        <v>83</v>
      </c>
      <c r="S28" s="171" t="s">
        <v>83</v>
      </c>
      <c r="T28" s="171" t="s">
        <v>83</v>
      </c>
      <c r="U28" s="171" t="s">
        <v>83</v>
      </c>
      <c r="V28" s="171" t="s">
        <v>83</v>
      </c>
      <c r="W28" s="171" t="s">
        <v>83</v>
      </c>
      <c r="X28" s="171" t="s">
        <v>83</v>
      </c>
      <c r="Y28" s="171" t="s">
        <v>83</v>
      </c>
      <c r="Z28" s="171" t="s">
        <v>83</v>
      </c>
      <c r="AA28" s="171" t="s">
        <v>83</v>
      </c>
      <c r="AB28" s="171" t="s">
        <v>83</v>
      </c>
      <c r="AC28" s="171" t="s">
        <v>83</v>
      </c>
      <c r="AD28" s="171" t="s">
        <v>83</v>
      </c>
      <c r="AE28" s="171" t="s">
        <v>83</v>
      </c>
      <c r="AF28" s="171" t="s">
        <v>83</v>
      </c>
      <c r="AG28" s="171" t="s">
        <v>83</v>
      </c>
      <c r="AH28" s="171" t="s">
        <v>83</v>
      </c>
      <c r="AI28" s="171" t="s">
        <v>83</v>
      </c>
      <c r="AJ28" s="171" t="s">
        <v>83</v>
      </c>
      <c r="AK28" s="171" t="s">
        <v>83</v>
      </c>
      <c r="AL28" s="141"/>
      <c r="AM28" s="188"/>
      <c r="AN28" s="188"/>
      <c r="AO28" s="188"/>
      <c r="AP28" s="188"/>
      <c r="AQ28" s="188"/>
      <c r="AR28" s="188"/>
      <c r="AS28" s="188"/>
      <c r="AT28" s="188"/>
      <c r="AU28" s="188"/>
      <c r="AV28" s="188"/>
      <c r="AW28" s="188"/>
      <c r="AX28" s="188"/>
      <c r="AY28" s="188"/>
      <c r="AZ28" s="188"/>
      <c r="BA28" s="188"/>
      <c r="BB28" s="188"/>
      <c r="BC28" s="188"/>
      <c r="BD28" s="188"/>
      <c r="BE28" s="188"/>
      <c r="BF28" s="188"/>
      <c r="BG28" s="188"/>
      <c r="BH28" s="188"/>
      <c r="BI28" s="188"/>
      <c r="BJ28" s="188"/>
      <c r="BK28" s="188"/>
      <c r="BL28" s="188"/>
      <c r="BM28" s="188"/>
      <c r="BN28" s="188"/>
      <c r="BO28" s="188"/>
      <c r="BP28" s="188"/>
    </row>
    <row r="29" spans="2:68" x14ac:dyDescent="0.15">
      <c r="B29" s="141">
        <v>41649</v>
      </c>
      <c r="C29" s="141" t="s">
        <v>230</v>
      </c>
      <c r="D29" s="141" t="s">
        <v>179</v>
      </c>
      <c r="E29" s="141" t="s">
        <v>180</v>
      </c>
      <c r="F29" s="141" t="s">
        <v>231</v>
      </c>
      <c r="G29" s="141" t="s">
        <v>232</v>
      </c>
      <c r="H29" s="141">
        <v>13</v>
      </c>
      <c r="I29" s="172"/>
      <c r="J29" s="141"/>
      <c r="K29" s="173"/>
      <c r="L29" s="173"/>
      <c r="M29" s="173"/>
      <c r="N29" s="173"/>
      <c r="O29" s="173"/>
      <c r="P29" s="173"/>
      <c r="Q29" s="173"/>
      <c r="R29" s="173"/>
      <c r="S29" s="173"/>
      <c r="T29" s="173"/>
      <c r="U29" s="173"/>
      <c r="V29" s="173"/>
      <c r="W29" s="173"/>
      <c r="X29" s="173"/>
      <c r="Y29" s="173"/>
      <c r="Z29" s="173"/>
      <c r="AA29" s="173"/>
      <c r="AB29" s="173"/>
      <c r="AC29" s="173"/>
      <c r="AD29" s="173"/>
      <c r="AE29" s="173"/>
      <c r="AF29" s="173"/>
      <c r="AG29" s="173"/>
      <c r="AH29" s="173"/>
      <c r="AI29" s="173"/>
      <c r="AJ29" s="173"/>
      <c r="AK29" s="173"/>
      <c r="AL29" s="141"/>
      <c r="AM29" s="188"/>
      <c r="AN29" s="188"/>
      <c r="AO29" s="188"/>
      <c r="AP29" s="188"/>
      <c r="AQ29" s="188"/>
      <c r="AR29" s="188"/>
      <c r="AS29" s="188"/>
      <c r="AT29" s="188"/>
      <c r="AU29" s="188"/>
      <c r="AV29" s="188"/>
      <c r="AW29" s="188"/>
      <c r="AX29" s="188"/>
      <c r="AY29" s="188"/>
      <c r="AZ29" s="188"/>
      <c r="BA29" s="188"/>
      <c r="BB29" s="188"/>
      <c r="BC29" s="188"/>
      <c r="BD29" s="188"/>
      <c r="BE29" s="188"/>
      <c r="BF29" s="188"/>
      <c r="BG29" s="188"/>
      <c r="BH29" s="188"/>
      <c r="BI29" s="188"/>
      <c r="BJ29" s="188"/>
      <c r="BK29" s="188"/>
      <c r="BL29" s="188"/>
      <c r="BM29" s="188"/>
      <c r="BN29" s="188"/>
      <c r="BO29" s="188"/>
      <c r="BP29" s="188"/>
    </row>
    <row r="30" spans="2:68" x14ac:dyDescent="0.15">
      <c r="B30" s="170">
        <v>62033</v>
      </c>
      <c r="C30" s="170" t="s">
        <v>233</v>
      </c>
      <c r="D30" s="170" t="s">
        <v>179</v>
      </c>
      <c r="E30" s="170" t="s">
        <v>180</v>
      </c>
      <c r="F30" s="170" t="s">
        <v>234</v>
      </c>
      <c r="G30" s="170" t="s">
        <v>234</v>
      </c>
      <c r="H30" s="170">
        <v>25</v>
      </c>
      <c r="I30" s="169"/>
      <c r="J30" s="170"/>
      <c r="K30" s="171"/>
      <c r="L30" s="171"/>
      <c r="M30" s="171"/>
      <c r="N30" s="171"/>
      <c r="O30" s="171"/>
      <c r="P30" s="171"/>
      <c r="Q30" s="171"/>
      <c r="R30" s="171"/>
      <c r="S30" s="171"/>
      <c r="T30" s="171"/>
      <c r="U30" s="171"/>
      <c r="V30" s="171"/>
      <c r="W30" s="171"/>
      <c r="X30" s="171"/>
      <c r="Y30" s="171"/>
      <c r="Z30" s="171"/>
      <c r="AA30" s="171"/>
      <c r="AB30" s="171"/>
      <c r="AC30" s="171"/>
      <c r="AD30" s="171"/>
      <c r="AE30" s="171"/>
      <c r="AF30" s="171"/>
      <c r="AG30" s="171"/>
      <c r="AH30" s="171"/>
      <c r="AI30" s="171"/>
      <c r="AJ30" s="171"/>
      <c r="AK30" s="171"/>
      <c r="AL30" s="141"/>
      <c r="AM30" s="188"/>
      <c r="AN30" s="188"/>
      <c r="AO30" s="188"/>
      <c r="AP30" s="188"/>
      <c r="AQ30" s="188"/>
      <c r="AR30" s="188"/>
      <c r="AS30" s="188"/>
      <c r="AT30" s="188"/>
      <c r="AU30" s="188"/>
      <c r="AV30" s="188"/>
      <c r="AW30" s="188"/>
      <c r="AX30" s="188"/>
      <c r="AY30" s="188"/>
      <c r="AZ30" s="188"/>
      <c r="BA30" s="188"/>
      <c r="BB30" s="188"/>
      <c r="BC30" s="188"/>
      <c r="BD30" s="188"/>
      <c r="BE30" s="188"/>
      <c r="BF30" s="188"/>
      <c r="BG30" s="188"/>
      <c r="BH30" s="188"/>
      <c r="BI30" s="188"/>
      <c r="BJ30" s="188"/>
      <c r="BK30" s="188"/>
      <c r="BL30" s="188"/>
      <c r="BM30" s="188"/>
      <c r="BN30" s="188"/>
      <c r="BO30" s="188"/>
      <c r="BP30" s="188"/>
    </row>
    <row r="31" spans="2:68" x14ac:dyDescent="0.15">
      <c r="B31" s="141">
        <v>22536</v>
      </c>
      <c r="C31" s="141" t="s">
        <v>235</v>
      </c>
      <c r="D31" s="141" t="s">
        <v>179</v>
      </c>
      <c r="E31" s="141" t="s">
        <v>180</v>
      </c>
      <c r="F31" s="141" t="s">
        <v>236</v>
      </c>
      <c r="G31" s="141" t="s">
        <v>236</v>
      </c>
      <c r="H31" s="141">
        <v>288</v>
      </c>
      <c r="I31" s="172"/>
      <c r="J31" s="141" t="s">
        <v>83</v>
      </c>
      <c r="K31" s="173" t="s">
        <v>83</v>
      </c>
      <c r="L31" s="173" t="s">
        <v>83</v>
      </c>
      <c r="M31" s="173" t="s">
        <v>83</v>
      </c>
      <c r="N31" s="173" t="s">
        <v>83</v>
      </c>
      <c r="O31" s="173" t="s">
        <v>83</v>
      </c>
      <c r="P31" s="173" t="s">
        <v>83</v>
      </c>
      <c r="Q31" s="173" t="s">
        <v>83</v>
      </c>
      <c r="R31" s="173" t="s">
        <v>83</v>
      </c>
      <c r="S31" s="173" t="s">
        <v>83</v>
      </c>
      <c r="T31" s="173" t="s">
        <v>83</v>
      </c>
      <c r="U31" s="173" t="s">
        <v>83</v>
      </c>
      <c r="V31" s="173" t="s">
        <v>83</v>
      </c>
      <c r="W31" s="173" t="s">
        <v>83</v>
      </c>
      <c r="X31" s="173" t="s">
        <v>83</v>
      </c>
      <c r="Y31" s="173" t="s">
        <v>83</v>
      </c>
      <c r="Z31" s="173" t="s">
        <v>83</v>
      </c>
      <c r="AA31" s="173" t="s">
        <v>83</v>
      </c>
      <c r="AB31" s="173" t="s">
        <v>83</v>
      </c>
      <c r="AC31" s="173" t="s">
        <v>83</v>
      </c>
      <c r="AD31" s="173" t="s">
        <v>83</v>
      </c>
      <c r="AE31" s="173" t="s">
        <v>83</v>
      </c>
      <c r="AF31" s="173" t="s">
        <v>83</v>
      </c>
      <c r="AG31" s="173" t="s">
        <v>83</v>
      </c>
      <c r="AH31" s="173" t="s">
        <v>83</v>
      </c>
      <c r="AI31" s="173" t="s">
        <v>83</v>
      </c>
      <c r="AJ31" s="173" t="s">
        <v>83</v>
      </c>
      <c r="AK31" s="173" t="s">
        <v>83</v>
      </c>
      <c r="AL31" s="141"/>
      <c r="AM31" s="188"/>
      <c r="AN31" s="188"/>
      <c r="AO31" s="188"/>
      <c r="AP31" s="188"/>
      <c r="AQ31" s="188"/>
      <c r="AR31" s="188"/>
      <c r="AS31" s="188"/>
      <c r="AT31" s="188"/>
      <c r="AU31" s="188"/>
      <c r="AV31" s="188"/>
      <c r="AW31" s="188"/>
      <c r="AX31" s="188"/>
      <c r="AY31" s="188"/>
      <c r="AZ31" s="188"/>
      <c r="BA31" s="188"/>
      <c r="BB31" s="188"/>
      <c r="BC31" s="188"/>
      <c r="BD31" s="188"/>
      <c r="BE31" s="188"/>
      <c r="BF31" s="188"/>
      <c r="BG31" s="188"/>
      <c r="BH31" s="188"/>
      <c r="BI31" s="188"/>
      <c r="BJ31" s="188"/>
      <c r="BK31" s="188"/>
      <c r="BL31" s="188"/>
      <c r="BM31" s="188"/>
      <c r="BN31" s="188"/>
      <c r="BO31" s="188"/>
      <c r="BP31" s="188"/>
    </row>
    <row r="32" spans="2:68" x14ac:dyDescent="0.15">
      <c r="B32" s="170">
        <v>6765</v>
      </c>
      <c r="C32" s="170" t="s">
        <v>237</v>
      </c>
      <c r="D32" s="170" t="s">
        <v>179</v>
      </c>
      <c r="E32" s="170" t="s">
        <v>180</v>
      </c>
      <c r="F32" s="170" t="s">
        <v>238</v>
      </c>
      <c r="G32" s="170" t="s">
        <v>238</v>
      </c>
      <c r="H32" s="170">
        <v>376</v>
      </c>
      <c r="I32" s="169"/>
      <c r="J32" s="170" t="s">
        <v>83</v>
      </c>
      <c r="K32" s="171" t="s">
        <v>83</v>
      </c>
      <c r="L32" s="171" t="s">
        <v>83</v>
      </c>
      <c r="M32" s="171" t="s">
        <v>83</v>
      </c>
      <c r="N32" s="171" t="s">
        <v>83</v>
      </c>
      <c r="O32" s="171" t="s">
        <v>83</v>
      </c>
      <c r="P32" s="171" t="s">
        <v>83</v>
      </c>
      <c r="Q32" s="171" t="s">
        <v>83</v>
      </c>
      <c r="R32" s="171" t="s">
        <v>83</v>
      </c>
      <c r="S32" s="171" t="s">
        <v>83</v>
      </c>
      <c r="T32" s="171" t="s">
        <v>83</v>
      </c>
      <c r="U32" s="171" t="s">
        <v>83</v>
      </c>
      <c r="V32" s="171" t="s">
        <v>83</v>
      </c>
      <c r="W32" s="171" t="s">
        <v>83</v>
      </c>
      <c r="X32" s="171" t="s">
        <v>83</v>
      </c>
      <c r="Y32" s="171" t="s">
        <v>83</v>
      </c>
      <c r="Z32" s="171" t="s">
        <v>83</v>
      </c>
      <c r="AA32" s="171" t="s">
        <v>83</v>
      </c>
      <c r="AB32" s="171" t="s">
        <v>83</v>
      </c>
      <c r="AC32" s="171" t="s">
        <v>83</v>
      </c>
      <c r="AD32" s="171" t="s">
        <v>83</v>
      </c>
      <c r="AE32" s="171" t="s">
        <v>83</v>
      </c>
      <c r="AF32" s="171" t="s">
        <v>83</v>
      </c>
      <c r="AG32" s="171" t="s">
        <v>83</v>
      </c>
      <c r="AH32" s="171" t="s">
        <v>83</v>
      </c>
      <c r="AI32" s="171" t="s">
        <v>83</v>
      </c>
      <c r="AJ32" s="171" t="s">
        <v>83</v>
      </c>
      <c r="AK32" s="171" t="s">
        <v>83</v>
      </c>
      <c r="AL32" s="141"/>
      <c r="AM32" s="188"/>
      <c r="AN32" s="188"/>
      <c r="AO32" s="188"/>
      <c r="AP32" s="188"/>
      <c r="AQ32" s="188"/>
      <c r="AR32" s="188"/>
      <c r="AS32" s="188"/>
      <c r="AT32" s="188"/>
      <c r="AU32" s="188"/>
      <c r="AV32" s="188"/>
      <c r="AW32" s="188"/>
      <c r="AX32" s="188"/>
      <c r="AY32" s="188"/>
      <c r="AZ32" s="188"/>
      <c r="BA32" s="188"/>
      <c r="BB32" s="188"/>
      <c r="BC32" s="188"/>
      <c r="BD32" s="188"/>
      <c r="BE32" s="188"/>
      <c r="BF32" s="188"/>
      <c r="BG32" s="188"/>
      <c r="BH32" s="188"/>
      <c r="BI32" s="188"/>
      <c r="BJ32" s="188"/>
      <c r="BK32" s="188"/>
      <c r="BL32" s="188"/>
      <c r="BM32" s="188"/>
      <c r="BN32" s="188"/>
      <c r="BO32" s="188"/>
      <c r="BP32" s="188"/>
    </row>
    <row r="33" spans="1:68" x14ac:dyDescent="0.15">
      <c r="B33" s="141">
        <v>63659</v>
      </c>
      <c r="C33" s="141" t="s">
        <v>239</v>
      </c>
      <c r="D33" s="141" t="s">
        <v>179</v>
      </c>
      <c r="E33" s="141" t="s">
        <v>180</v>
      </c>
      <c r="F33" s="141" t="s">
        <v>165</v>
      </c>
      <c r="G33" s="141" t="s">
        <v>240</v>
      </c>
      <c r="H33" s="141">
        <v>14</v>
      </c>
      <c r="I33" s="172"/>
      <c r="J33" s="141" t="s">
        <v>83</v>
      </c>
      <c r="K33" s="173" t="s">
        <v>83</v>
      </c>
      <c r="L33" s="173" t="s">
        <v>83</v>
      </c>
      <c r="M33" s="173" t="s">
        <v>83</v>
      </c>
      <c r="N33" s="173" t="s">
        <v>83</v>
      </c>
      <c r="O33" s="173" t="s">
        <v>83</v>
      </c>
      <c r="P33" s="173" t="s">
        <v>83</v>
      </c>
      <c r="Q33" s="173" t="s">
        <v>83</v>
      </c>
      <c r="R33" s="173" t="s">
        <v>83</v>
      </c>
      <c r="S33" s="173" t="s">
        <v>83</v>
      </c>
      <c r="T33" s="173" t="s">
        <v>83</v>
      </c>
      <c r="U33" s="173" t="s">
        <v>83</v>
      </c>
      <c r="V33" s="173" t="s">
        <v>83</v>
      </c>
      <c r="W33" s="173" t="s">
        <v>83</v>
      </c>
      <c r="X33" s="173" t="s">
        <v>83</v>
      </c>
      <c r="Y33" s="173" t="s">
        <v>83</v>
      </c>
      <c r="Z33" s="173" t="s">
        <v>83</v>
      </c>
      <c r="AA33" s="173" t="s">
        <v>83</v>
      </c>
      <c r="AB33" s="173" t="s">
        <v>83</v>
      </c>
      <c r="AC33" s="173" t="s">
        <v>83</v>
      </c>
      <c r="AD33" s="173" t="s">
        <v>83</v>
      </c>
      <c r="AE33" s="173" t="s">
        <v>83</v>
      </c>
      <c r="AF33" s="173" t="s">
        <v>83</v>
      </c>
      <c r="AG33" s="173" t="s">
        <v>83</v>
      </c>
      <c r="AH33" s="173" t="s">
        <v>83</v>
      </c>
      <c r="AI33" s="173" t="s">
        <v>83</v>
      </c>
      <c r="AJ33" s="173" t="s">
        <v>83</v>
      </c>
      <c r="AK33" s="173" t="s">
        <v>83</v>
      </c>
      <c r="AL33" s="141"/>
      <c r="AM33" s="188"/>
      <c r="AN33" s="188"/>
      <c r="AO33" s="188"/>
      <c r="AP33" s="188"/>
      <c r="AQ33" s="188"/>
      <c r="AR33" s="188"/>
      <c r="AS33" s="188"/>
      <c r="AT33" s="188"/>
      <c r="AU33" s="188"/>
      <c r="AV33" s="188"/>
      <c r="AW33" s="188"/>
      <c r="AX33" s="188"/>
      <c r="AY33" s="188"/>
      <c r="AZ33" s="188"/>
      <c r="BA33" s="188"/>
      <c r="BB33" s="188"/>
      <c r="BC33" s="188"/>
      <c r="BD33" s="188"/>
      <c r="BE33" s="188"/>
      <c r="BF33" s="188"/>
      <c r="BG33" s="188"/>
      <c r="BH33" s="188"/>
      <c r="BI33" s="188"/>
      <c r="BJ33" s="188"/>
      <c r="BK33" s="188"/>
      <c r="BL33" s="188"/>
      <c r="BM33" s="188"/>
      <c r="BN33" s="188"/>
      <c r="BO33" s="188"/>
      <c r="BP33" s="188"/>
    </row>
    <row r="34" spans="1:68" x14ac:dyDescent="0.15">
      <c r="B34" s="170">
        <v>11627</v>
      </c>
      <c r="C34" s="170" t="s">
        <v>241</v>
      </c>
      <c r="D34" s="170" t="s">
        <v>179</v>
      </c>
      <c r="E34" s="170" t="s">
        <v>180</v>
      </c>
      <c r="F34" s="170" t="s">
        <v>165</v>
      </c>
      <c r="G34" s="170" t="s">
        <v>132</v>
      </c>
      <c r="H34" s="170">
        <v>252</v>
      </c>
      <c r="I34" s="169"/>
      <c r="J34" s="170" t="s">
        <v>83</v>
      </c>
      <c r="K34" s="171" t="s">
        <v>83</v>
      </c>
      <c r="L34" s="171" t="s">
        <v>83</v>
      </c>
      <c r="M34" s="171" t="s">
        <v>83</v>
      </c>
      <c r="N34" s="171" t="s">
        <v>83</v>
      </c>
      <c r="O34" s="171" t="s">
        <v>83</v>
      </c>
      <c r="P34" s="171" t="s">
        <v>83</v>
      </c>
      <c r="Q34" s="171" t="s">
        <v>83</v>
      </c>
      <c r="R34" s="171" t="s">
        <v>83</v>
      </c>
      <c r="S34" s="171" t="s">
        <v>83</v>
      </c>
      <c r="T34" s="171" t="s">
        <v>83</v>
      </c>
      <c r="U34" s="171" t="s">
        <v>83</v>
      </c>
      <c r="V34" s="171" t="s">
        <v>83</v>
      </c>
      <c r="W34" s="171" t="s">
        <v>83</v>
      </c>
      <c r="X34" s="171" t="s">
        <v>83</v>
      </c>
      <c r="Y34" s="171" t="s">
        <v>83</v>
      </c>
      <c r="Z34" s="171" t="s">
        <v>83</v>
      </c>
      <c r="AA34" s="171" t="s">
        <v>83</v>
      </c>
      <c r="AB34" s="171" t="s">
        <v>83</v>
      </c>
      <c r="AC34" s="171" t="s">
        <v>83</v>
      </c>
      <c r="AD34" s="171" t="s">
        <v>83</v>
      </c>
      <c r="AE34" s="171" t="s">
        <v>83</v>
      </c>
      <c r="AF34" s="171" t="s">
        <v>83</v>
      </c>
      <c r="AG34" s="171" t="s">
        <v>83</v>
      </c>
      <c r="AH34" s="171" t="s">
        <v>83</v>
      </c>
      <c r="AI34" s="171" t="s">
        <v>83</v>
      </c>
      <c r="AJ34" s="171" t="s">
        <v>83</v>
      </c>
      <c r="AK34" s="171" t="s">
        <v>83</v>
      </c>
      <c r="AL34" s="141"/>
      <c r="AM34" s="188"/>
      <c r="AN34" s="188"/>
      <c r="AO34" s="188"/>
      <c r="AP34" s="188"/>
      <c r="AQ34" s="188"/>
      <c r="AR34" s="188"/>
      <c r="AS34" s="188"/>
      <c r="AT34" s="188"/>
      <c r="AU34" s="188"/>
      <c r="AV34" s="188"/>
      <c r="AW34" s="188"/>
      <c r="AX34" s="188"/>
      <c r="AY34" s="188"/>
      <c r="AZ34" s="188"/>
      <c r="BA34" s="188"/>
      <c r="BB34" s="188"/>
      <c r="BC34" s="188"/>
      <c r="BD34" s="188"/>
      <c r="BE34" s="188"/>
      <c r="BF34" s="188"/>
      <c r="BG34" s="188"/>
      <c r="BH34" s="188"/>
      <c r="BI34" s="188"/>
      <c r="BJ34" s="188"/>
      <c r="BK34" s="188"/>
      <c r="BL34" s="188"/>
      <c r="BM34" s="188"/>
      <c r="BN34" s="188"/>
      <c r="BO34" s="188"/>
      <c r="BP34" s="188"/>
    </row>
    <row r="35" spans="1:68" x14ac:dyDescent="0.15">
      <c r="B35" s="141">
        <v>11629</v>
      </c>
      <c r="C35" s="141" t="s">
        <v>242</v>
      </c>
      <c r="D35" s="141" t="s">
        <v>179</v>
      </c>
      <c r="E35" s="141" t="s">
        <v>180</v>
      </c>
      <c r="F35" s="141" t="s">
        <v>243</v>
      </c>
      <c r="G35" s="141" t="s">
        <v>142</v>
      </c>
      <c r="H35" s="141">
        <v>170</v>
      </c>
      <c r="I35" s="172"/>
      <c r="J35" s="141" t="s">
        <v>83</v>
      </c>
      <c r="K35" s="173" t="s">
        <v>83</v>
      </c>
      <c r="L35" s="173" t="s">
        <v>83</v>
      </c>
      <c r="M35" s="173" t="s">
        <v>83</v>
      </c>
      <c r="N35" s="173" t="s">
        <v>83</v>
      </c>
      <c r="O35" s="173" t="s">
        <v>83</v>
      </c>
      <c r="P35" s="173" t="s">
        <v>83</v>
      </c>
      <c r="Q35" s="173" t="s">
        <v>83</v>
      </c>
      <c r="R35" s="173" t="s">
        <v>83</v>
      </c>
      <c r="S35" s="173" t="s">
        <v>83</v>
      </c>
      <c r="T35" s="173" t="s">
        <v>83</v>
      </c>
      <c r="U35" s="173" t="s">
        <v>83</v>
      </c>
      <c r="V35" s="173" t="s">
        <v>83</v>
      </c>
      <c r="W35" s="173" t="s">
        <v>83</v>
      </c>
      <c r="X35" s="173" t="s">
        <v>83</v>
      </c>
      <c r="Y35" s="173" t="s">
        <v>83</v>
      </c>
      <c r="Z35" s="173" t="s">
        <v>83</v>
      </c>
      <c r="AA35" s="173" t="s">
        <v>83</v>
      </c>
      <c r="AB35" s="173" t="s">
        <v>83</v>
      </c>
      <c r="AC35" s="173" t="s">
        <v>83</v>
      </c>
      <c r="AD35" s="173" t="s">
        <v>83</v>
      </c>
      <c r="AE35" s="173" t="s">
        <v>83</v>
      </c>
      <c r="AF35" s="173" t="s">
        <v>83</v>
      </c>
      <c r="AG35" s="173" t="s">
        <v>83</v>
      </c>
      <c r="AH35" s="173" t="s">
        <v>83</v>
      </c>
      <c r="AI35" s="173" t="s">
        <v>83</v>
      </c>
      <c r="AJ35" s="173" t="s">
        <v>83</v>
      </c>
      <c r="AK35" s="173" t="s">
        <v>83</v>
      </c>
      <c r="AL35" s="141"/>
      <c r="AM35" s="188"/>
      <c r="AN35" s="188"/>
      <c r="AO35" s="188"/>
      <c r="AP35" s="188"/>
      <c r="AQ35" s="188"/>
      <c r="AR35" s="188"/>
      <c r="AS35" s="188"/>
      <c r="AT35" s="188"/>
      <c r="AU35" s="188"/>
      <c r="AV35" s="188"/>
      <c r="AW35" s="188"/>
      <c r="AX35" s="188"/>
      <c r="AY35" s="188"/>
      <c r="AZ35" s="188"/>
      <c r="BA35" s="188"/>
      <c r="BB35" s="188"/>
      <c r="BC35" s="188"/>
      <c r="BD35" s="188"/>
      <c r="BE35" s="188"/>
      <c r="BF35" s="188"/>
      <c r="BG35" s="188"/>
      <c r="BH35" s="188"/>
      <c r="BI35" s="188"/>
      <c r="BJ35" s="188"/>
      <c r="BK35" s="188"/>
      <c r="BL35" s="188"/>
      <c r="BM35" s="188"/>
      <c r="BN35" s="188"/>
      <c r="BO35" s="188"/>
      <c r="BP35" s="188"/>
    </row>
    <row r="36" spans="1:68" x14ac:dyDescent="0.15">
      <c r="B36" s="170">
        <v>7168</v>
      </c>
      <c r="C36" s="170" t="s">
        <v>244</v>
      </c>
      <c r="D36" s="170" t="s">
        <v>179</v>
      </c>
      <c r="E36" s="170" t="s">
        <v>180</v>
      </c>
      <c r="F36" s="170" t="s">
        <v>245</v>
      </c>
      <c r="G36" s="170" t="s">
        <v>246</v>
      </c>
      <c r="H36" s="170">
        <v>46</v>
      </c>
      <c r="I36" s="169"/>
      <c r="J36" s="170" t="s">
        <v>83</v>
      </c>
      <c r="K36" s="171" t="s">
        <v>83</v>
      </c>
      <c r="L36" s="171" t="s">
        <v>83</v>
      </c>
      <c r="M36" s="171" t="s">
        <v>83</v>
      </c>
      <c r="N36" s="171" t="s">
        <v>83</v>
      </c>
      <c r="O36" s="171" t="s">
        <v>83</v>
      </c>
      <c r="P36" s="171" t="s">
        <v>83</v>
      </c>
      <c r="Q36" s="171" t="s">
        <v>83</v>
      </c>
      <c r="R36" s="171" t="s">
        <v>83</v>
      </c>
      <c r="S36" s="171" t="s">
        <v>83</v>
      </c>
      <c r="T36" s="171" t="s">
        <v>83</v>
      </c>
      <c r="U36" s="171" t="s">
        <v>83</v>
      </c>
      <c r="V36" s="171" t="s">
        <v>83</v>
      </c>
      <c r="W36" s="171" t="s">
        <v>83</v>
      </c>
      <c r="X36" s="171" t="s">
        <v>83</v>
      </c>
      <c r="Y36" s="171" t="s">
        <v>83</v>
      </c>
      <c r="Z36" s="171" t="s">
        <v>83</v>
      </c>
      <c r="AA36" s="171" t="s">
        <v>83</v>
      </c>
      <c r="AB36" s="171" t="s">
        <v>83</v>
      </c>
      <c r="AC36" s="171" t="s">
        <v>83</v>
      </c>
      <c r="AD36" s="171" t="s">
        <v>83</v>
      </c>
      <c r="AE36" s="171" t="s">
        <v>83</v>
      </c>
      <c r="AF36" s="171" t="s">
        <v>83</v>
      </c>
      <c r="AG36" s="171" t="s">
        <v>83</v>
      </c>
      <c r="AH36" s="171" t="s">
        <v>83</v>
      </c>
      <c r="AI36" s="171" t="s">
        <v>83</v>
      </c>
      <c r="AJ36" s="171" t="s">
        <v>83</v>
      </c>
      <c r="AK36" s="171" t="s">
        <v>83</v>
      </c>
      <c r="AL36" s="141"/>
      <c r="AM36" s="188"/>
      <c r="AN36" s="188"/>
      <c r="AO36" s="188"/>
      <c r="AP36" s="188"/>
      <c r="AQ36" s="188"/>
      <c r="AR36" s="188"/>
      <c r="AS36" s="188"/>
      <c r="AT36" s="188"/>
      <c r="AU36" s="188"/>
      <c r="AV36" s="188"/>
      <c r="AW36" s="188"/>
      <c r="AX36" s="188"/>
      <c r="AY36" s="188"/>
      <c r="AZ36" s="188"/>
      <c r="BA36" s="188"/>
      <c r="BB36" s="188"/>
      <c r="BC36" s="188"/>
      <c r="BD36" s="188"/>
      <c r="BE36" s="188"/>
      <c r="BF36" s="188"/>
      <c r="BG36" s="188"/>
      <c r="BH36" s="188"/>
      <c r="BI36" s="188"/>
      <c r="BJ36" s="188"/>
      <c r="BK36" s="188"/>
      <c r="BL36" s="188"/>
      <c r="BM36" s="188"/>
      <c r="BN36" s="188"/>
      <c r="BO36" s="188"/>
      <c r="BP36" s="188"/>
    </row>
    <row r="37" spans="1:68" x14ac:dyDescent="0.15">
      <c r="B37" s="174"/>
      <c r="C37" s="174"/>
      <c r="D37" s="174"/>
      <c r="E37" s="175" t="s">
        <v>114</v>
      </c>
      <c r="F37" s="176"/>
      <c r="G37" s="177">
        <v>29</v>
      </c>
      <c r="H37" s="178">
        <v>2709</v>
      </c>
      <c r="I37" s="174"/>
      <c r="J37" s="179" t="s">
        <v>115</v>
      </c>
      <c r="K37" s="174" t="s">
        <v>116</v>
      </c>
      <c r="L37" s="174"/>
      <c r="M37" s="174"/>
      <c r="N37" s="174"/>
      <c r="O37" s="174"/>
      <c r="P37" s="174"/>
      <c r="Q37" s="174"/>
      <c r="R37" s="174"/>
      <c r="S37" s="174"/>
      <c r="T37" s="174"/>
      <c r="U37" s="174"/>
      <c r="V37" s="174"/>
      <c r="W37" s="174"/>
      <c r="X37" s="174"/>
      <c r="Y37" s="174"/>
      <c r="Z37" s="174"/>
      <c r="AA37" s="174"/>
      <c r="AB37" s="174"/>
      <c r="AC37" s="174"/>
      <c r="AD37" s="174"/>
      <c r="AE37" s="174"/>
      <c r="AF37" s="174"/>
      <c r="AG37" s="174"/>
      <c r="AH37" s="174"/>
      <c r="AI37" s="174"/>
      <c r="AJ37" s="174"/>
      <c r="AK37" s="180"/>
      <c r="AM37" s="188"/>
      <c r="AN37" s="188"/>
      <c r="AO37" s="188"/>
      <c r="AP37" s="188"/>
      <c r="AQ37" s="188"/>
      <c r="AR37" s="188"/>
      <c r="AS37" s="188"/>
      <c r="AT37" s="188"/>
      <c r="AU37" s="188"/>
      <c r="AV37" s="188"/>
      <c r="AW37" s="188"/>
      <c r="AX37" s="188"/>
      <c r="AY37" s="188"/>
      <c r="AZ37" s="188"/>
      <c r="BA37" s="188"/>
      <c r="BB37" s="188"/>
      <c r="BC37" s="188"/>
      <c r="BD37" s="188"/>
      <c r="BE37" s="188"/>
      <c r="BF37" s="188"/>
      <c r="BG37" s="188"/>
      <c r="BH37" s="188"/>
      <c r="BI37" s="188"/>
      <c r="BJ37" s="188"/>
      <c r="BK37" s="188"/>
      <c r="BL37" s="188"/>
      <c r="BM37" s="188"/>
      <c r="BN37" s="188"/>
      <c r="BO37" s="188"/>
      <c r="BP37" s="188"/>
    </row>
    <row r="38" spans="1:68" x14ac:dyDescent="0.15">
      <c r="J38" s="141" t="s">
        <v>88</v>
      </c>
      <c r="K38" t="s">
        <v>117</v>
      </c>
      <c r="AK38" s="182"/>
      <c r="AM38" s="188"/>
      <c r="AN38" s="188"/>
      <c r="AO38" s="188"/>
      <c r="AP38" s="188"/>
      <c r="AQ38" s="188"/>
      <c r="AR38" s="188"/>
      <c r="AS38" s="188"/>
      <c r="AT38" s="188"/>
      <c r="AU38" s="188"/>
      <c r="AV38" s="188"/>
      <c r="AW38" s="188"/>
      <c r="AX38" s="188"/>
      <c r="AY38" s="188"/>
      <c r="AZ38" s="188"/>
      <c r="BA38" s="188"/>
      <c r="BB38" s="188"/>
      <c r="BC38" s="188"/>
      <c r="BD38" s="188"/>
      <c r="BE38" s="188"/>
      <c r="BF38" s="188"/>
      <c r="BG38" s="188"/>
      <c r="BH38" s="188"/>
      <c r="BI38" s="188"/>
      <c r="BJ38" s="188"/>
      <c r="BK38" s="188"/>
      <c r="BL38" s="188"/>
      <c r="BM38" s="188"/>
      <c r="BN38" s="188"/>
      <c r="BO38" s="188"/>
      <c r="BP38" s="188"/>
    </row>
    <row r="39" spans="1:68" x14ac:dyDescent="0.15">
      <c r="J39" s="141" t="s">
        <v>83</v>
      </c>
      <c r="K39" t="s">
        <v>118</v>
      </c>
      <c r="AK39" s="182"/>
      <c r="AM39" s="188"/>
      <c r="AN39" s="188"/>
      <c r="AO39" s="188"/>
      <c r="AP39" s="188"/>
      <c r="AQ39" s="188"/>
      <c r="AR39" s="188"/>
      <c r="AS39" s="188"/>
      <c r="AT39" s="188"/>
      <c r="AU39" s="188"/>
      <c r="AV39" s="188"/>
      <c r="AW39" s="188"/>
      <c r="AX39" s="188"/>
      <c r="AY39" s="188"/>
      <c r="AZ39" s="188"/>
      <c r="BA39" s="188"/>
      <c r="BB39" s="188"/>
      <c r="BC39" s="188"/>
      <c r="BD39" s="188"/>
      <c r="BE39" s="188"/>
      <c r="BF39" s="188"/>
      <c r="BG39" s="188"/>
      <c r="BH39" s="188"/>
      <c r="BI39" s="188"/>
      <c r="BJ39" s="188"/>
      <c r="BK39" s="188"/>
      <c r="BL39" s="188"/>
      <c r="BM39" s="188"/>
      <c r="BN39" s="188"/>
      <c r="BO39" s="188"/>
      <c r="BP39" s="188"/>
    </row>
    <row r="40" spans="1:68" x14ac:dyDescent="0.15">
      <c r="J40" s="141" t="s">
        <v>119</v>
      </c>
      <c r="AK40" s="182"/>
      <c r="AM40" s="188"/>
      <c r="AN40" s="188"/>
      <c r="AO40" s="188"/>
      <c r="AP40" s="188"/>
      <c r="AQ40" s="188"/>
      <c r="AR40" s="188"/>
      <c r="AS40" s="188"/>
      <c r="AT40" s="188"/>
      <c r="AU40" s="188"/>
      <c r="AV40" s="188"/>
      <c r="AW40" s="188"/>
      <c r="AX40" s="188"/>
      <c r="AY40" s="188"/>
      <c r="AZ40" s="188"/>
      <c r="BA40" s="188"/>
      <c r="BB40" s="188"/>
      <c r="BC40" s="188"/>
      <c r="BD40" s="188"/>
      <c r="BE40" s="188"/>
      <c r="BF40" s="188"/>
      <c r="BG40" s="188"/>
      <c r="BH40" s="188"/>
      <c r="BI40" s="188"/>
      <c r="BJ40" s="188"/>
      <c r="BK40" s="188"/>
      <c r="BL40" s="188"/>
      <c r="BM40" s="188"/>
      <c r="BN40" s="188"/>
      <c r="BO40" s="188"/>
      <c r="BP40" s="188"/>
    </row>
    <row r="41" spans="1:68" x14ac:dyDescent="0.15">
      <c r="J41" s="183" t="s">
        <v>87</v>
      </c>
      <c r="K41" s="181" t="s">
        <v>120</v>
      </c>
      <c r="L41" s="184"/>
      <c r="M41" s="184"/>
      <c r="N41" s="184"/>
      <c r="O41" s="184"/>
      <c r="P41" s="184"/>
      <c r="Q41" s="184"/>
      <c r="R41" s="184"/>
      <c r="S41" s="184"/>
      <c r="T41" s="184"/>
      <c r="U41" s="184"/>
      <c r="V41" s="184"/>
      <c r="W41" s="184"/>
      <c r="X41" s="184"/>
      <c r="Y41" s="184"/>
      <c r="Z41" s="184"/>
      <c r="AA41" s="184"/>
      <c r="AB41" s="184"/>
      <c r="AC41" s="184"/>
      <c r="AD41" s="184"/>
      <c r="AE41" s="184"/>
      <c r="AF41" s="184"/>
      <c r="AG41" s="184"/>
      <c r="AH41" s="184"/>
      <c r="AI41" s="184"/>
      <c r="AJ41" s="184"/>
      <c r="AK41" s="185"/>
      <c r="AM41" s="188"/>
      <c r="AN41" s="188"/>
      <c r="AO41" s="188"/>
      <c r="AP41" s="188"/>
      <c r="AQ41" s="188"/>
      <c r="AR41" s="188"/>
      <c r="AS41" s="188"/>
      <c r="AT41" s="188"/>
      <c r="AU41" s="188"/>
      <c r="AV41" s="188"/>
      <c r="AW41" s="188"/>
      <c r="AX41" s="188"/>
      <c r="AY41" s="188"/>
      <c r="AZ41" s="188"/>
      <c r="BA41" s="188"/>
      <c r="BB41" s="188"/>
      <c r="BC41" s="188"/>
      <c r="BD41" s="188"/>
      <c r="BE41" s="188"/>
      <c r="BF41" s="188"/>
      <c r="BG41" s="188"/>
      <c r="BH41" s="188"/>
      <c r="BI41" s="188"/>
      <c r="BJ41" s="188"/>
      <c r="BK41" s="188"/>
      <c r="BL41" s="188"/>
      <c r="BM41" s="188"/>
      <c r="BN41" s="188"/>
      <c r="BO41" s="188"/>
      <c r="BP41" s="188"/>
    </row>
    <row r="42" spans="1:68" x14ac:dyDescent="0.15">
      <c r="B42" s="190" t="s">
        <v>59</v>
      </c>
      <c r="AJ42" s="186"/>
      <c r="AM42" s="188"/>
      <c r="AN42" s="188"/>
      <c r="AO42" s="188"/>
      <c r="AP42" s="188"/>
      <c r="AQ42" s="188"/>
      <c r="AR42" s="188"/>
      <c r="AS42" s="188"/>
      <c r="AT42" s="188"/>
      <c r="AU42" s="188"/>
      <c r="AV42" s="188"/>
      <c r="AW42" s="188"/>
      <c r="AX42" s="188"/>
      <c r="AY42" s="188"/>
      <c r="AZ42" s="188"/>
      <c r="BA42" s="188"/>
      <c r="BB42" s="188"/>
      <c r="BC42" s="188"/>
      <c r="BD42" s="188"/>
      <c r="BE42" s="188"/>
      <c r="BF42" s="188"/>
      <c r="BG42" s="188"/>
      <c r="BH42" s="188"/>
      <c r="BI42" s="188"/>
      <c r="BJ42" s="188"/>
      <c r="BK42" s="188"/>
      <c r="BL42" s="188"/>
      <c r="BM42" s="188"/>
      <c r="BN42" s="188"/>
      <c r="BO42" s="188"/>
      <c r="BP42" s="188"/>
    </row>
    <row r="43" spans="1:68" x14ac:dyDescent="0.15">
      <c r="A43" s="160"/>
      <c r="B43" s="201" t="s">
        <v>10</v>
      </c>
      <c r="C43" s="202"/>
      <c r="D43" s="202"/>
      <c r="E43" s="202"/>
      <c r="F43" s="202"/>
      <c r="G43" s="202"/>
      <c r="H43" s="202"/>
      <c r="I43" s="202"/>
      <c r="J43" s="202"/>
      <c r="K43" s="202"/>
      <c r="L43" s="202"/>
      <c r="M43" s="202"/>
      <c r="N43" s="202"/>
      <c r="O43" s="202"/>
      <c r="P43" s="202"/>
      <c r="Q43" s="202"/>
      <c r="R43" s="202"/>
      <c r="S43" s="202"/>
      <c r="T43" s="202"/>
      <c r="U43" s="202"/>
      <c r="V43" s="202"/>
      <c r="W43" s="202"/>
      <c r="X43" s="202"/>
      <c r="Y43" s="202"/>
      <c r="Z43" s="202"/>
      <c r="AA43" s="202"/>
      <c r="AB43" s="202"/>
      <c r="AC43" s="202"/>
      <c r="AD43" s="202"/>
      <c r="AE43" s="202"/>
      <c r="AF43" s="202"/>
      <c r="AG43" s="202"/>
      <c r="AH43" s="202"/>
      <c r="AI43" s="202"/>
      <c r="AJ43" s="202"/>
      <c r="AK43" s="202"/>
      <c r="AL43" s="202"/>
      <c r="AM43" s="188"/>
      <c r="AN43" s="188"/>
      <c r="AO43" s="188"/>
      <c r="AP43" s="188"/>
      <c r="AQ43" s="188"/>
      <c r="AR43" s="188"/>
      <c r="AS43" s="188"/>
      <c r="AT43" s="188"/>
      <c r="AU43" s="188"/>
      <c r="AV43" s="188"/>
      <c r="AW43" s="188"/>
      <c r="AX43" s="188"/>
      <c r="AY43" s="188"/>
      <c r="AZ43" s="188"/>
      <c r="BA43" s="188"/>
      <c r="BB43" s="188"/>
      <c r="BC43" s="188"/>
      <c r="BD43" s="188"/>
      <c r="BE43" s="188"/>
      <c r="BF43" s="188"/>
      <c r="BG43" s="188"/>
      <c r="BH43" s="188"/>
      <c r="BI43" s="188"/>
      <c r="BJ43" s="188"/>
      <c r="BK43" s="188"/>
      <c r="BL43" s="188"/>
      <c r="BM43" s="188"/>
      <c r="BN43" s="188"/>
      <c r="BO43" s="188"/>
      <c r="BP43" s="188"/>
    </row>
    <row r="44" spans="1:68" x14ac:dyDescent="0.15">
      <c r="A44" s="160"/>
      <c r="B44" s="217"/>
      <c r="C44" s="217"/>
      <c r="D44" s="217"/>
      <c r="E44" s="217"/>
      <c r="F44" s="217"/>
      <c r="G44" s="217"/>
      <c r="H44" s="217"/>
      <c r="I44" s="217"/>
      <c r="J44" s="217"/>
      <c r="K44" s="217"/>
      <c r="L44" s="217"/>
      <c r="M44" s="217"/>
      <c r="N44" s="217"/>
      <c r="O44" s="217"/>
      <c r="P44" s="217"/>
      <c r="Q44" s="217"/>
      <c r="R44" s="217"/>
      <c r="S44" s="217"/>
      <c r="T44" s="217"/>
      <c r="U44" s="217"/>
      <c r="V44" s="217"/>
      <c r="W44" s="217"/>
      <c r="X44" s="217"/>
      <c r="Y44" s="217"/>
      <c r="Z44" s="217"/>
      <c r="AA44" s="217"/>
      <c r="AB44" s="217"/>
      <c r="AC44" s="217"/>
      <c r="AD44" s="217"/>
      <c r="AE44" s="217"/>
      <c r="AF44" s="217"/>
      <c r="AG44" s="217"/>
      <c r="AH44" s="217"/>
      <c r="AI44" s="217"/>
      <c r="AJ44" s="217"/>
      <c r="AK44" s="217"/>
      <c r="AL44" s="217"/>
      <c r="AM44" s="188"/>
      <c r="AN44" s="188"/>
      <c r="AO44" s="188"/>
      <c r="AP44" s="188"/>
      <c r="AQ44" s="188"/>
      <c r="AR44" s="188"/>
      <c r="AS44" s="188"/>
      <c r="AT44" s="188"/>
      <c r="AU44" s="188"/>
      <c r="AV44" s="188"/>
      <c r="AW44" s="188"/>
      <c r="AX44" s="188"/>
      <c r="AY44" s="188"/>
      <c r="AZ44" s="188"/>
      <c r="BA44" s="188"/>
      <c r="BB44" s="188"/>
      <c r="BC44" s="188"/>
      <c r="BD44" s="188"/>
      <c r="BE44" s="188"/>
      <c r="BF44" s="188"/>
      <c r="BG44" s="188"/>
      <c r="BH44" s="188"/>
      <c r="BI44" s="188"/>
      <c r="BJ44" s="188"/>
      <c r="BK44" s="188"/>
      <c r="BL44" s="188"/>
      <c r="BM44" s="188"/>
      <c r="BN44" s="188"/>
      <c r="BO44" s="188"/>
      <c r="BP44" s="188"/>
    </row>
    <row r="45" spans="1:68" x14ac:dyDescent="0.15">
      <c r="A45" s="160"/>
      <c r="B45" s="217"/>
      <c r="C45" s="217"/>
      <c r="D45" s="217"/>
      <c r="E45" s="217"/>
      <c r="F45" s="217"/>
      <c r="G45" s="217"/>
      <c r="H45" s="217"/>
      <c r="I45" s="217"/>
      <c r="J45" s="217"/>
      <c r="K45" s="217"/>
      <c r="L45" s="217"/>
      <c r="M45" s="217"/>
      <c r="N45" s="217"/>
      <c r="O45" s="217"/>
      <c r="P45" s="217"/>
      <c r="Q45" s="217"/>
      <c r="R45" s="217"/>
      <c r="S45" s="217"/>
      <c r="T45" s="217"/>
      <c r="U45" s="217"/>
      <c r="V45" s="217"/>
      <c r="W45" s="217"/>
      <c r="X45" s="217"/>
      <c r="Y45" s="217"/>
      <c r="Z45" s="217"/>
      <c r="AA45" s="217"/>
      <c r="AB45" s="217"/>
      <c r="AC45" s="217"/>
      <c r="AD45" s="217"/>
      <c r="AE45" s="217"/>
      <c r="AF45" s="217"/>
      <c r="AG45" s="217"/>
      <c r="AH45" s="217"/>
      <c r="AI45" s="217"/>
      <c r="AJ45" s="217"/>
      <c r="AK45" s="217"/>
      <c r="AL45" s="217"/>
      <c r="AM45" s="188"/>
      <c r="AN45" s="188"/>
      <c r="AO45" s="188"/>
      <c r="AP45" s="188"/>
      <c r="AQ45" s="188"/>
      <c r="AR45" s="188"/>
      <c r="AS45" s="188"/>
      <c r="AT45" s="188"/>
      <c r="AU45" s="188"/>
      <c r="AV45" s="188"/>
      <c r="AW45" s="188"/>
      <c r="AX45" s="188"/>
      <c r="AY45" s="188"/>
      <c r="AZ45" s="188"/>
      <c r="BA45" s="188"/>
      <c r="BB45" s="188"/>
      <c r="BC45" s="188"/>
      <c r="BD45" s="188"/>
      <c r="BE45" s="188"/>
      <c r="BF45" s="188"/>
      <c r="BG45" s="188"/>
      <c r="BH45" s="188"/>
      <c r="BI45" s="188"/>
      <c r="BJ45" s="188"/>
      <c r="BK45" s="188"/>
      <c r="BL45" s="188"/>
      <c r="BM45" s="188"/>
      <c r="BN45" s="188"/>
      <c r="BO45" s="188"/>
      <c r="BP45" s="188"/>
    </row>
    <row r="46" spans="1:68" x14ac:dyDescent="0.15">
      <c r="A46" s="188"/>
      <c r="B46" s="188"/>
      <c r="C46" s="188"/>
      <c r="D46" s="188"/>
      <c r="E46" s="188"/>
      <c r="F46" s="188"/>
      <c r="G46" s="188"/>
      <c r="H46" s="188"/>
      <c r="I46" s="188"/>
      <c r="J46" s="188"/>
      <c r="K46" s="188"/>
      <c r="L46" s="188"/>
      <c r="M46" s="188"/>
      <c r="N46" s="188"/>
      <c r="O46" s="188"/>
      <c r="P46" s="188"/>
      <c r="Q46" s="188"/>
      <c r="R46" s="188"/>
      <c r="S46" s="188"/>
      <c r="T46" s="188"/>
      <c r="U46" s="188"/>
      <c r="V46" s="188"/>
      <c r="W46" s="188"/>
      <c r="X46" s="188"/>
      <c r="Y46" s="188"/>
      <c r="Z46" s="188"/>
      <c r="AA46" s="188"/>
      <c r="AB46" s="188"/>
      <c r="AC46" s="188"/>
      <c r="AD46" s="188"/>
      <c r="AE46" s="188"/>
      <c r="AF46" s="188"/>
      <c r="AG46" s="188"/>
      <c r="AH46" s="188"/>
      <c r="AI46" s="188"/>
      <c r="AJ46" s="188"/>
      <c r="AK46" s="188"/>
      <c r="AL46" s="188"/>
      <c r="AM46" s="188"/>
      <c r="AN46" s="188"/>
      <c r="AO46" s="188"/>
      <c r="AP46" s="188"/>
      <c r="AQ46" s="188"/>
      <c r="AR46" s="188"/>
      <c r="AS46" s="188"/>
      <c r="AT46" s="188"/>
      <c r="AU46" s="188"/>
      <c r="AV46" s="188"/>
      <c r="AW46" s="188"/>
      <c r="AX46" s="188"/>
      <c r="AY46" s="188"/>
      <c r="AZ46" s="188"/>
      <c r="BA46" s="188"/>
      <c r="BB46" s="188"/>
      <c r="BC46" s="188"/>
      <c r="BD46" s="188"/>
      <c r="BE46" s="188"/>
      <c r="BF46" s="188"/>
      <c r="BG46" s="188"/>
      <c r="BH46" s="188"/>
      <c r="BI46" s="188"/>
      <c r="BJ46" s="188"/>
      <c r="BK46" s="188"/>
      <c r="BL46" s="188"/>
      <c r="BM46" s="188"/>
      <c r="BN46" s="188"/>
      <c r="BO46" s="188"/>
      <c r="BP46" s="188"/>
    </row>
    <row r="47" spans="1:68" x14ac:dyDescent="0.15">
      <c r="A47" s="188"/>
      <c r="B47" s="188"/>
      <c r="C47" s="188"/>
      <c r="D47" s="188"/>
      <c r="E47" s="188"/>
      <c r="F47" s="188"/>
      <c r="G47" s="188"/>
      <c r="H47" s="188"/>
      <c r="I47" s="188"/>
      <c r="J47" s="188"/>
      <c r="K47" s="188"/>
      <c r="L47" s="188"/>
      <c r="M47" s="188"/>
      <c r="N47" s="188"/>
      <c r="O47" s="188"/>
      <c r="P47" s="188"/>
      <c r="Q47" s="188"/>
      <c r="R47" s="188"/>
      <c r="S47" s="188"/>
      <c r="T47" s="188"/>
      <c r="U47" s="188"/>
      <c r="V47" s="188"/>
      <c r="W47" s="188"/>
      <c r="X47" s="188"/>
      <c r="Y47" s="188"/>
      <c r="Z47" s="188"/>
      <c r="AA47" s="188"/>
      <c r="AB47" s="188"/>
      <c r="AC47" s="188"/>
      <c r="AD47" s="188"/>
      <c r="AE47" s="188"/>
      <c r="AF47" s="188"/>
      <c r="AG47" s="188"/>
      <c r="AH47" s="188"/>
      <c r="AI47" s="188"/>
      <c r="AJ47" s="188"/>
      <c r="AK47" s="188"/>
      <c r="AL47" s="188"/>
      <c r="AM47" s="188"/>
      <c r="AN47" s="188"/>
      <c r="AO47" s="188"/>
      <c r="AP47" s="188"/>
      <c r="AQ47" s="188"/>
      <c r="AR47" s="188"/>
      <c r="AS47" s="188"/>
      <c r="AT47" s="188"/>
      <c r="AU47" s="188"/>
      <c r="AV47" s="188"/>
      <c r="AW47" s="188"/>
      <c r="AX47" s="188"/>
      <c r="AY47" s="188"/>
      <c r="AZ47" s="188"/>
      <c r="BA47" s="188"/>
      <c r="BB47" s="188"/>
      <c r="BC47" s="188"/>
      <c r="BD47" s="188"/>
      <c r="BE47" s="188"/>
      <c r="BF47" s="188"/>
      <c r="BG47" s="188"/>
      <c r="BH47" s="188"/>
      <c r="BI47" s="188"/>
      <c r="BJ47" s="188"/>
      <c r="BK47" s="188"/>
      <c r="BL47" s="188"/>
      <c r="BM47" s="188"/>
      <c r="BN47" s="188"/>
      <c r="BO47" s="188"/>
      <c r="BP47" s="188"/>
    </row>
    <row r="48" spans="1:68" x14ac:dyDescent="0.15">
      <c r="A48" s="188"/>
      <c r="B48" s="188"/>
      <c r="C48" s="188"/>
      <c r="D48" s="188"/>
      <c r="E48" s="188"/>
      <c r="F48" s="188"/>
      <c r="G48" s="188"/>
      <c r="H48" s="188"/>
      <c r="I48" s="188"/>
      <c r="J48" s="188"/>
      <c r="K48" s="188"/>
      <c r="L48" s="188"/>
      <c r="M48" s="188"/>
      <c r="N48" s="188"/>
      <c r="O48" s="188"/>
      <c r="P48" s="188"/>
      <c r="Q48" s="188"/>
      <c r="R48" s="188"/>
      <c r="S48" s="188"/>
      <c r="T48" s="188"/>
      <c r="U48" s="188"/>
      <c r="V48" s="188"/>
      <c r="W48" s="188"/>
      <c r="X48" s="188"/>
      <c r="Y48" s="188"/>
      <c r="Z48" s="188"/>
      <c r="AA48" s="188"/>
      <c r="AB48" s="188"/>
      <c r="AC48" s="188"/>
      <c r="AD48" s="188"/>
      <c r="AE48" s="188"/>
      <c r="AF48" s="188"/>
      <c r="AG48" s="188"/>
      <c r="AH48" s="188"/>
      <c r="AI48" s="188"/>
      <c r="AJ48" s="188"/>
      <c r="AK48" s="188"/>
      <c r="AL48" s="188"/>
      <c r="AM48" s="188"/>
      <c r="AN48" s="188"/>
      <c r="AO48" s="188"/>
      <c r="AP48" s="188"/>
      <c r="AQ48" s="188"/>
      <c r="AR48" s="188"/>
      <c r="AS48" s="188"/>
      <c r="AT48" s="188"/>
      <c r="AU48" s="188"/>
      <c r="AV48" s="188"/>
      <c r="AW48" s="188"/>
      <c r="AX48" s="188"/>
      <c r="AY48" s="188"/>
      <c r="AZ48" s="188"/>
      <c r="BA48" s="188"/>
      <c r="BB48" s="188"/>
      <c r="BC48" s="188"/>
      <c r="BD48" s="188"/>
      <c r="BE48" s="188"/>
      <c r="BF48" s="188"/>
      <c r="BG48" s="188"/>
      <c r="BH48" s="188"/>
      <c r="BI48" s="188"/>
      <c r="BJ48" s="188"/>
      <c r="BK48" s="188"/>
      <c r="BL48" s="188"/>
      <c r="BM48" s="188"/>
      <c r="BN48" s="188"/>
      <c r="BO48" s="188"/>
      <c r="BP48" s="188"/>
    </row>
    <row r="49" spans="1:68" x14ac:dyDescent="0.15">
      <c r="A49" s="188"/>
      <c r="B49" s="188"/>
      <c r="C49" s="188"/>
      <c r="D49" s="188"/>
      <c r="E49" s="188"/>
      <c r="F49" s="188"/>
      <c r="G49" s="188"/>
      <c r="H49" s="188"/>
      <c r="I49" s="188"/>
      <c r="J49" s="188"/>
      <c r="K49" s="188"/>
      <c r="L49" s="188"/>
      <c r="M49" s="188"/>
      <c r="N49" s="188"/>
      <c r="O49" s="188"/>
      <c r="P49" s="188"/>
      <c r="Q49" s="188"/>
      <c r="R49" s="188"/>
      <c r="S49" s="188"/>
      <c r="T49" s="188"/>
      <c r="U49" s="188"/>
      <c r="V49" s="188"/>
      <c r="W49" s="188"/>
      <c r="X49" s="188"/>
      <c r="Y49" s="188"/>
      <c r="Z49" s="188"/>
      <c r="AA49" s="188"/>
      <c r="AB49" s="188"/>
      <c r="AC49" s="188"/>
      <c r="AD49" s="188"/>
      <c r="AE49" s="188"/>
      <c r="AF49" s="188"/>
      <c r="AG49" s="188"/>
      <c r="AH49" s="188"/>
      <c r="AI49" s="188"/>
      <c r="AJ49" s="188"/>
      <c r="AK49" s="188"/>
      <c r="AL49" s="188"/>
      <c r="AM49" s="188"/>
      <c r="AN49" s="188"/>
      <c r="AO49" s="188"/>
      <c r="AP49" s="188"/>
      <c r="AQ49" s="188"/>
      <c r="AR49" s="188"/>
      <c r="AS49" s="188"/>
      <c r="AT49" s="188"/>
      <c r="AU49" s="188"/>
      <c r="AV49" s="188"/>
      <c r="AW49" s="188"/>
      <c r="AX49" s="188"/>
      <c r="AY49" s="188"/>
      <c r="AZ49" s="188"/>
      <c r="BA49" s="188"/>
      <c r="BB49" s="188"/>
      <c r="BC49" s="188"/>
      <c r="BD49" s="188"/>
      <c r="BE49" s="188"/>
      <c r="BF49" s="188"/>
      <c r="BG49" s="188"/>
      <c r="BH49" s="188"/>
      <c r="BI49" s="188"/>
      <c r="BJ49" s="188"/>
      <c r="BK49" s="188"/>
      <c r="BL49" s="188"/>
      <c r="BM49" s="188"/>
      <c r="BN49" s="188"/>
      <c r="BO49" s="188"/>
      <c r="BP49" s="188"/>
    </row>
    <row r="50" spans="1:68" x14ac:dyDescent="0.15">
      <c r="A50" s="188"/>
      <c r="B50" s="188"/>
      <c r="C50" s="188"/>
      <c r="D50" s="188"/>
      <c r="E50" s="188"/>
      <c r="F50" s="188"/>
      <c r="G50" s="188"/>
      <c r="H50" s="188"/>
      <c r="I50" s="188"/>
      <c r="J50" s="188"/>
      <c r="K50" s="188"/>
      <c r="L50" s="188"/>
      <c r="M50" s="188"/>
      <c r="N50" s="188"/>
      <c r="O50" s="188"/>
      <c r="P50" s="188"/>
      <c r="Q50" s="188"/>
      <c r="R50" s="188"/>
      <c r="S50" s="188"/>
      <c r="T50" s="188"/>
      <c r="U50" s="188"/>
      <c r="V50" s="188"/>
      <c r="W50" s="188"/>
      <c r="X50" s="188"/>
      <c r="Y50" s="188"/>
      <c r="Z50" s="188"/>
      <c r="AA50" s="188"/>
      <c r="AB50" s="188"/>
      <c r="AC50" s="188"/>
      <c r="AD50" s="188"/>
      <c r="AE50" s="188"/>
      <c r="AF50" s="188"/>
      <c r="AG50" s="188"/>
      <c r="AH50" s="188"/>
      <c r="AI50" s="188"/>
      <c r="AJ50" s="188"/>
      <c r="AK50" s="188"/>
      <c r="AL50" s="188"/>
      <c r="AM50" s="188"/>
      <c r="AN50" s="188"/>
      <c r="AO50" s="188"/>
      <c r="AP50" s="188"/>
      <c r="AQ50" s="188"/>
      <c r="AR50" s="188"/>
      <c r="AS50" s="188"/>
      <c r="AT50" s="188"/>
      <c r="AU50" s="188"/>
      <c r="AV50" s="188"/>
      <c r="AW50" s="188"/>
      <c r="AX50" s="188"/>
      <c r="AY50" s="188"/>
      <c r="AZ50" s="188"/>
      <c r="BA50" s="188"/>
      <c r="BB50" s="188"/>
      <c r="BC50" s="188"/>
      <c r="BD50" s="188"/>
      <c r="BE50" s="188"/>
      <c r="BF50" s="188"/>
      <c r="BG50" s="188"/>
      <c r="BH50" s="188"/>
      <c r="BI50" s="188"/>
      <c r="BJ50" s="188"/>
      <c r="BK50" s="188"/>
      <c r="BL50" s="188"/>
      <c r="BM50" s="188"/>
      <c r="BN50" s="188"/>
      <c r="BO50" s="188"/>
      <c r="BP50" s="188"/>
    </row>
    <row r="51" spans="1:68" x14ac:dyDescent="0.15">
      <c r="A51" s="188"/>
      <c r="B51" s="188"/>
      <c r="C51" s="188"/>
      <c r="D51" s="188"/>
      <c r="E51" s="188"/>
      <c r="F51" s="188"/>
      <c r="G51" s="188"/>
      <c r="H51" s="188"/>
      <c r="I51" s="188"/>
      <c r="J51" s="188"/>
      <c r="K51" s="188"/>
      <c r="L51" s="188"/>
      <c r="M51" s="188"/>
      <c r="N51" s="188"/>
      <c r="O51" s="188"/>
      <c r="P51" s="188"/>
      <c r="Q51" s="188"/>
      <c r="R51" s="188"/>
      <c r="S51" s="188"/>
      <c r="T51" s="188"/>
      <c r="U51" s="188"/>
      <c r="V51" s="188"/>
      <c r="W51" s="188"/>
      <c r="X51" s="188"/>
      <c r="Y51" s="188"/>
      <c r="Z51" s="188"/>
      <c r="AA51" s="188"/>
      <c r="AB51" s="188"/>
      <c r="AC51" s="188"/>
      <c r="AD51" s="188"/>
      <c r="AE51" s="188"/>
      <c r="AF51" s="188"/>
      <c r="AG51" s="188"/>
      <c r="AH51" s="188"/>
      <c r="AI51" s="188"/>
      <c r="AJ51" s="188"/>
      <c r="AK51" s="188"/>
      <c r="AL51" s="188"/>
      <c r="AM51" s="188"/>
      <c r="AN51" s="188"/>
      <c r="AO51" s="188"/>
      <c r="AP51" s="188"/>
      <c r="AQ51" s="188"/>
      <c r="AR51" s="188"/>
      <c r="AS51" s="188"/>
      <c r="AT51" s="188"/>
      <c r="AU51" s="188"/>
      <c r="AV51" s="188"/>
      <c r="AW51" s="188"/>
      <c r="AX51" s="188"/>
      <c r="AY51" s="188"/>
      <c r="AZ51" s="188"/>
      <c r="BA51" s="188"/>
      <c r="BB51" s="188"/>
      <c r="BC51" s="188"/>
      <c r="BD51" s="188"/>
      <c r="BE51" s="188"/>
      <c r="BF51" s="188"/>
      <c r="BG51" s="188"/>
      <c r="BH51" s="188"/>
      <c r="BI51" s="188"/>
      <c r="BJ51" s="188"/>
      <c r="BK51" s="188"/>
      <c r="BL51" s="188"/>
      <c r="BM51" s="188"/>
      <c r="BN51" s="188"/>
      <c r="BO51" s="188"/>
      <c r="BP51" s="188"/>
    </row>
    <row r="52" spans="1:68" x14ac:dyDescent="0.15">
      <c r="A52" s="188"/>
      <c r="B52" s="188"/>
      <c r="C52" s="188"/>
      <c r="D52" s="188"/>
      <c r="E52" s="188"/>
      <c r="F52" s="188"/>
      <c r="G52" s="188"/>
      <c r="H52" s="188"/>
      <c r="I52" s="188"/>
      <c r="J52" s="188"/>
      <c r="K52" s="188"/>
      <c r="L52" s="188"/>
      <c r="M52" s="188"/>
      <c r="N52" s="188"/>
      <c r="O52" s="188"/>
      <c r="P52" s="188"/>
      <c r="Q52" s="188"/>
      <c r="R52" s="188"/>
      <c r="S52" s="188"/>
      <c r="T52" s="188"/>
      <c r="U52" s="188"/>
      <c r="V52" s="188"/>
      <c r="W52" s="188"/>
      <c r="X52" s="188"/>
      <c r="Y52" s="188"/>
      <c r="Z52" s="188"/>
      <c r="AA52" s="188"/>
      <c r="AB52" s="188"/>
      <c r="AC52" s="188"/>
      <c r="AD52" s="188"/>
      <c r="AE52" s="188"/>
      <c r="AF52" s="188"/>
      <c r="AG52" s="188"/>
      <c r="AH52" s="188"/>
      <c r="AI52" s="188"/>
      <c r="AJ52" s="188"/>
      <c r="AK52" s="188"/>
      <c r="AL52" s="188"/>
      <c r="AM52" s="188"/>
      <c r="AN52" s="188"/>
      <c r="AO52" s="188"/>
      <c r="AP52" s="188"/>
      <c r="AQ52" s="188"/>
      <c r="AR52" s="188"/>
      <c r="AS52" s="188"/>
      <c r="AT52" s="188"/>
      <c r="AU52" s="188"/>
      <c r="AV52" s="188"/>
      <c r="AW52" s="188"/>
      <c r="AX52" s="188"/>
      <c r="AY52" s="188"/>
      <c r="AZ52" s="188"/>
      <c r="BA52" s="188"/>
      <c r="BB52" s="188"/>
      <c r="BC52" s="188"/>
      <c r="BD52" s="188"/>
      <c r="BE52" s="188"/>
      <c r="BF52" s="188"/>
      <c r="BG52" s="188"/>
      <c r="BH52" s="188"/>
      <c r="BI52" s="188"/>
      <c r="BJ52" s="188"/>
      <c r="BK52" s="188"/>
      <c r="BL52" s="188"/>
      <c r="BM52" s="188"/>
      <c r="BN52" s="188"/>
      <c r="BO52" s="188"/>
      <c r="BP52" s="188"/>
    </row>
    <row r="53" spans="1:68" x14ac:dyDescent="0.15">
      <c r="A53" s="188"/>
      <c r="B53" s="188"/>
      <c r="C53" s="188"/>
      <c r="D53" s="188"/>
      <c r="E53" s="188"/>
      <c r="F53" s="188"/>
      <c r="G53" s="188"/>
      <c r="H53" s="188"/>
      <c r="I53" s="188"/>
      <c r="J53" s="188"/>
      <c r="K53" s="188"/>
      <c r="L53" s="188"/>
      <c r="M53" s="188"/>
      <c r="N53" s="188"/>
      <c r="O53" s="188"/>
      <c r="P53" s="188"/>
      <c r="Q53" s="188"/>
      <c r="R53" s="188"/>
      <c r="S53" s="188"/>
      <c r="T53" s="188"/>
      <c r="U53" s="188"/>
      <c r="V53" s="188"/>
      <c r="W53" s="188"/>
      <c r="X53" s="188"/>
      <c r="Y53" s="188"/>
      <c r="Z53" s="188"/>
      <c r="AA53" s="188"/>
      <c r="AB53" s="188"/>
      <c r="AC53" s="188"/>
      <c r="AD53" s="188"/>
      <c r="AE53" s="188"/>
      <c r="AF53" s="188"/>
      <c r="AG53" s="188"/>
      <c r="AH53" s="188"/>
      <c r="AI53" s="188"/>
      <c r="AJ53" s="188"/>
      <c r="AK53" s="188"/>
      <c r="AL53" s="188"/>
      <c r="AM53" s="188"/>
      <c r="AN53" s="188"/>
      <c r="AO53" s="188"/>
      <c r="AP53" s="188"/>
      <c r="AQ53" s="188"/>
      <c r="AR53" s="188"/>
      <c r="AS53" s="188"/>
      <c r="AT53" s="188"/>
      <c r="AU53" s="188"/>
      <c r="AV53" s="188"/>
      <c r="AW53" s="188"/>
      <c r="AX53" s="188"/>
      <c r="AY53" s="188"/>
      <c r="AZ53" s="188"/>
      <c r="BA53" s="188"/>
      <c r="BB53" s="188"/>
      <c r="BC53" s="188"/>
      <c r="BD53" s="188"/>
      <c r="BE53" s="188"/>
      <c r="BF53" s="188"/>
      <c r="BG53" s="188"/>
      <c r="BH53" s="188"/>
      <c r="BI53" s="188"/>
      <c r="BJ53" s="188"/>
      <c r="BK53" s="188"/>
      <c r="BL53" s="188"/>
      <c r="BM53" s="188"/>
      <c r="BN53" s="188"/>
      <c r="BO53" s="188"/>
      <c r="BP53" s="188"/>
    </row>
    <row r="54" spans="1:68" x14ac:dyDescent="0.15">
      <c r="A54" s="188"/>
      <c r="B54" s="188"/>
      <c r="C54" s="188"/>
      <c r="D54" s="188"/>
      <c r="E54" s="188"/>
      <c r="F54" s="188"/>
      <c r="G54" s="188"/>
      <c r="H54" s="188"/>
      <c r="I54" s="188"/>
      <c r="J54" s="188"/>
      <c r="K54" s="188"/>
      <c r="L54" s="188"/>
      <c r="M54" s="188"/>
      <c r="N54" s="188"/>
      <c r="O54" s="188"/>
      <c r="P54" s="188"/>
      <c r="Q54" s="188"/>
      <c r="R54" s="188"/>
      <c r="S54" s="188"/>
      <c r="T54" s="188"/>
      <c r="U54" s="188"/>
      <c r="V54" s="188"/>
      <c r="W54" s="188"/>
      <c r="X54" s="188"/>
      <c r="Y54" s="188"/>
      <c r="Z54" s="188"/>
      <c r="AA54" s="188"/>
      <c r="AB54" s="188"/>
      <c r="AC54" s="188"/>
      <c r="AD54" s="188"/>
      <c r="AE54" s="188"/>
      <c r="AF54" s="188"/>
      <c r="AG54" s="188"/>
      <c r="AH54" s="188"/>
      <c r="AI54" s="188"/>
      <c r="AJ54" s="188"/>
      <c r="AK54" s="188"/>
      <c r="AL54" s="188"/>
      <c r="AM54" s="188"/>
      <c r="AN54" s="188"/>
      <c r="AO54" s="188"/>
      <c r="AP54" s="188"/>
      <c r="AQ54" s="188"/>
      <c r="AR54" s="188"/>
      <c r="AS54" s="188"/>
      <c r="AT54" s="188"/>
      <c r="AU54" s="188"/>
      <c r="AV54" s="188"/>
      <c r="AW54" s="188"/>
      <c r="AX54" s="188"/>
      <c r="AY54" s="188"/>
      <c r="AZ54" s="188"/>
      <c r="BA54" s="188"/>
      <c r="BB54" s="188"/>
      <c r="BC54" s="188"/>
      <c r="BD54" s="188"/>
      <c r="BE54" s="188"/>
      <c r="BF54" s="188"/>
      <c r="BG54" s="188"/>
      <c r="BH54" s="188"/>
      <c r="BI54" s="188"/>
      <c r="BJ54" s="188"/>
      <c r="BK54" s="188"/>
      <c r="BL54" s="188"/>
      <c r="BM54" s="188"/>
      <c r="BN54" s="188"/>
      <c r="BO54" s="188"/>
      <c r="BP54" s="188"/>
    </row>
    <row r="55" spans="1:68" x14ac:dyDescent="0.15">
      <c r="A55" s="188"/>
      <c r="B55" s="188"/>
      <c r="C55" s="188"/>
      <c r="D55" s="188"/>
      <c r="E55" s="188"/>
      <c r="F55" s="188"/>
      <c r="G55" s="188"/>
      <c r="H55" s="188"/>
      <c r="I55" s="188"/>
      <c r="J55" s="188"/>
      <c r="K55" s="188"/>
      <c r="L55" s="188"/>
      <c r="M55" s="188"/>
      <c r="N55" s="188"/>
      <c r="O55" s="188"/>
      <c r="P55" s="188"/>
      <c r="Q55" s="188"/>
      <c r="R55" s="188"/>
      <c r="S55" s="188"/>
      <c r="T55" s="188"/>
      <c r="U55" s="188"/>
      <c r="V55" s="188"/>
      <c r="W55" s="188"/>
      <c r="X55" s="188"/>
      <c r="Y55" s="188"/>
      <c r="Z55" s="188"/>
      <c r="AA55" s="188"/>
      <c r="AB55" s="188"/>
      <c r="AC55" s="188"/>
      <c r="AD55" s="188"/>
      <c r="AE55" s="188"/>
      <c r="AF55" s="188"/>
      <c r="AG55" s="188"/>
      <c r="AH55" s="188"/>
      <c r="AI55" s="188"/>
      <c r="AJ55" s="188"/>
      <c r="AK55" s="188"/>
      <c r="AL55" s="188"/>
      <c r="AM55" s="188"/>
      <c r="AN55" s="188"/>
      <c r="AO55" s="188"/>
      <c r="AP55" s="188"/>
      <c r="AQ55" s="188"/>
      <c r="AR55" s="188"/>
      <c r="AS55" s="188"/>
      <c r="AT55" s="188"/>
      <c r="AU55" s="188"/>
      <c r="AV55" s="188"/>
      <c r="AW55" s="188"/>
      <c r="AX55" s="188"/>
      <c r="AY55" s="188"/>
      <c r="AZ55" s="188"/>
      <c r="BA55" s="188"/>
      <c r="BB55" s="188"/>
      <c r="BC55" s="188"/>
      <c r="BD55" s="188"/>
      <c r="BE55" s="188"/>
      <c r="BF55" s="188"/>
      <c r="BG55" s="188"/>
      <c r="BH55" s="188"/>
      <c r="BI55" s="188"/>
      <c r="BJ55" s="188"/>
      <c r="BK55" s="188"/>
      <c r="BL55" s="188"/>
      <c r="BM55" s="188"/>
      <c r="BN55" s="188"/>
      <c r="BO55" s="188"/>
      <c r="BP55" s="188"/>
    </row>
    <row r="56" spans="1:68" x14ac:dyDescent="0.15">
      <c r="A56" s="188"/>
      <c r="B56" s="188"/>
      <c r="C56" s="188"/>
      <c r="D56" s="188"/>
      <c r="E56" s="188"/>
      <c r="F56" s="188"/>
      <c r="G56" s="188"/>
      <c r="H56" s="188"/>
      <c r="I56" s="188"/>
      <c r="J56" s="188"/>
      <c r="K56" s="188"/>
      <c r="L56" s="188"/>
      <c r="M56" s="188"/>
      <c r="N56" s="188"/>
      <c r="O56" s="188"/>
      <c r="P56" s="188"/>
      <c r="Q56" s="188"/>
      <c r="R56" s="188"/>
      <c r="S56" s="188"/>
      <c r="T56" s="188"/>
      <c r="U56" s="188"/>
      <c r="V56" s="188"/>
      <c r="W56" s="188"/>
      <c r="X56" s="188"/>
      <c r="Y56" s="188"/>
      <c r="Z56" s="188"/>
      <c r="AA56" s="188"/>
      <c r="AB56" s="188"/>
      <c r="AC56" s="188"/>
      <c r="AD56" s="188"/>
      <c r="AE56" s="188"/>
      <c r="AF56" s="188"/>
      <c r="AG56" s="188"/>
      <c r="AH56" s="188"/>
      <c r="AI56" s="188"/>
      <c r="AJ56" s="188"/>
      <c r="AK56" s="188"/>
      <c r="AL56" s="188"/>
      <c r="AM56" s="188"/>
      <c r="AN56" s="188"/>
      <c r="AO56" s="188"/>
      <c r="AP56" s="188"/>
      <c r="AQ56" s="188"/>
      <c r="AR56" s="188"/>
      <c r="AS56" s="188"/>
      <c r="AT56" s="188"/>
      <c r="AU56" s="188"/>
      <c r="AV56" s="188"/>
      <c r="AW56" s="188"/>
      <c r="AX56" s="188"/>
      <c r="AY56" s="188"/>
      <c r="AZ56" s="188"/>
      <c r="BA56" s="188"/>
      <c r="BB56" s="188"/>
      <c r="BC56" s="188"/>
      <c r="BD56" s="188"/>
      <c r="BE56" s="188"/>
      <c r="BF56" s="188"/>
      <c r="BG56" s="188"/>
      <c r="BH56" s="188"/>
      <c r="BI56" s="188"/>
      <c r="BJ56" s="188"/>
      <c r="BK56" s="188"/>
      <c r="BL56" s="188"/>
      <c r="BM56" s="188"/>
      <c r="BN56" s="188"/>
      <c r="BO56" s="188"/>
      <c r="BP56" s="188"/>
    </row>
    <row r="57" spans="1:68" x14ac:dyDescent="0.15">
      <c r="A57" s="188"/>
      <c r="B57" s="188"/>
      <c r="C57" s="188"/>
      <c r="D57" s="188"/>
      <c r="E57" s="188"/>
      <c r="F57" s="188"/>
      <c r="G57" s="188"/>
      <c r="H57" s="188"/>
      <c r="I57" s="188"/>
      <c r="J57" s="188"/>
      <c r="K57" s="188"/>
      <c r="L57" s="188"/>
      <c r="M57" s="188"/>
      <c r="N57" s="188"/>
      <c r="O57" s="188"/>
      <c r="P57" s="188"/>
      <c r="Q57" s="188"/>
      <c r="R57" s="188"/>
      <c r="S57" s="188"/>
      <c r="T57" s="188"/>
      <c r="U57" s="188"/>
      <c r="V57" s="188"/>
      <c r="W57" s="188"/>
      <c r="X57" s="188"/>
      <c r="Y57" s="188"/>
      <c r="Z57" s="188"/>
      <c r="AA57" s="188"/>
      <c r="AB57" s="188"/>
      <c r="AC57" s="188"/>
      <c r="AD57" s="188"/>
      <c r="AE57" s="188"/>
      <c r="AF57" s="188"/>
      <c r="AG57" s="188"/>
      <c r="AH57" s="188"/>
      <c r="AI57" s="188"/>
      <c r="AJ57" s="188"/>
      <c r="AK57" s="188"/>
      <c r="AL57" s="188"/>
      <c r="AM57" s="188"/>
      <c r="AN57" s="188"/>
      <c r="AO57" s="188"/>
      <c r="AP57" s="188"/>
      <c r="AQ57" s="188"/>
      <c r="AR57" s="188"/>
      <c r="AS57" s="188"/>
      <c r="AT57" s="188"/>
      <c r="AU57" s="188"/>
      <c r="AV57" s="188"/>
      <c r="AW57" s="188"/>
      <c r="AX57" s="188"/>
      <c r="AY57" s="188"/>
      <c r="AZ57" s="188"/>
      <c r="BA57" s="188"/>
      <c r="BB57" s="188"/>
      <c r="BC57" s="188"/>
      <c r="BD57" s="188"/>
      <c r="BE57" s="188"/>
      <c r="BF57" s="188"/>
      <c r="BG57" s="188"/>
      <c r="BH57" s="188"/>
      <c r="BI57" s="188"/>
      <c r="BJ57" s="188"/>
      <c r="BK57" s="188"/>
      <c r="BL57" s="188"/>
      <c r="BM57" s="188"/>
      <c r="BN57" s="188"/>
      <c r="BO57" s="188"/>
      <c r="BP57" s="188"/>
    </row>
    <row r="58" spans="1:68" x14ac:dyDescent="0.15">
      <c r="A58" s="188"/>
      <c r="B58" s="188"/>
      <c r="C58" s="188"/>
      <c r="D58" s="188"/>
      <c r="E58" s="188"/>
      <c r="F58" s="188"/>
      <c r="G58" s="188"/>
      <c r="H58" s="188"/>
      <c r="I58" s="188"/>
      <c r="J58" s="188"/>
      <c r="K58" s="188"/>
      <c r="L58" s="188"/>
      <c r="M58" s="188"/>
      <c r="N58" s="188"/>
      <c r="O58" s="188"/>
      <c r="P58" s="188"/>
      <c r="Q58" s="188"/>
      <c r="R58" s="188"/>
      <c r="S58" s="188"/>
      <c r="T58" s="188"/>
      <c r="U58" s="188"/>
      <c r="V58" s="188"/>
      <c r="W58" s="188"/>
      <c r="X58" s="188"/>
      <c r="Y58" s="188"/>
      <c r="Z58" s="188"/>
      <c r="AA58" s="188"/>
      <c r="AB58" s="188"/>
      <c r="AC58" s="188"/>
      <c r="AD58" s="188"/>
      <c r="AE58" s="188"/>
      <c r="AF58" s="188"/>
      <c r="AG58" s="188"/>
      <c r="AH58" s="188"/>
      <c r="AI58" s="188"/>
      <c r="AJ58" s="188"/>
      <c r="AK58" s="188"/>
      <c r="AL58" s="188"/>
      <c r="AM58" s="188"/>
      <c r="AN58" s="188"/>
      <c r="AO58" s="188"/>
      <c r="AP58" s="188"/>
      <c r="AQ58" s="188"/>
      <c r="AR58" s="188"/>
      <c r="AS58" s="188"/>
      <c r="AT58" s="188"/>
      <c r="AU58" s="188"/>
      <c r="AV58" s="188"/>
      <c r="AW58" s="188"/>
      <c r="AX58" s="188"/>
      <c r="AY58" s="188"/>
      <c r="AZ58" s="188"/>
      <c r="BA58" s="188"/>
      <c r="BB58" s="188"/>
      <c r="BC58" s="188"/>
      <c r="BD58" s="188"/>
      <c r="BE58" s="188"/>
      <c r="BF58" s="188"/>
      <c r="BG58" s="188"/>
      <c r="BH58" s="188"/>
      <c r="BI58" s="188"/>
      <c r="BJ58" s="188"/>
      <c r="BK58" s="188"/>
      <c r="BL58" s="188"/>
      <c r="BM58" s="188"/>
      <c r="BN58" s="188"/>
      <c r="BO58" s="188"/>
      <c r="BP58" s="188"/>
    </row>
    <row r="59" spans="1:68" x14ac:dyDescent="0.15">
      <c r="A59" s="188"/>
      <c r="B59" s="188"/>
      <c r="C59" s="188"/>
      <c r="D59" s="188"/>
      <c r="E59" s="188"/>
      <c r="F59" s="188"/>
      <c r="G59" s="188"/>
      <c r="H59" s="188"/>
      <c r="I59" s="188"/>
      <c r="J59" s="188"/>
      <c r="K59" s="188"/>
      <c r="L59" s="188"/>
      <c r="M59" s="188"/>
      <c r="N59" s="188"/>
      <c r="O59" s="188"/>
      <c r="P59" s="188"/>
      <c r="Q59" s="188"/>
      <c r="R59" s="188"/>
      <c r="S59" s="188"/>
      <c r="T59" s="188"/>
      <c r="U59" s="188"/>
      <c r="V59" s="188"/>
      <c r="W59" s="188"/>
      <c r="X59" s="188"/>
      <c r="Y59" s="188"/>
      <c r="Z59" s="188"/>
      <c r="AA59" s="188"/>
      <c r="AB59" s="188"/>
      <c r="AC59" s="188"/>
      <c r="AD59" s="188"/>
      <c r="AE59" s="188"/>
      <c r="AF59" s="188"/>
      <c r="AG59" s="188"/>
      <c r="AH59" s="188"/>
      <c r="AI59" s="188"/>
      <c r="AJ59" s="188"/>
      <c r="AK59" s="188"/>
      <c r="AL59" s="188"/>
      <c r="AM59" s="188"/>
      <c r="AN59" s="188"/>
      <c r="AO59" s="188"/>
      <c r="AP59" s="188"/>
      <c r="AQ59" s="188"/>
      <c r="AR59" s="188"/>
      <c r="AS59" s="188"/>
      <c r="AT59" s="188"/>
      <c r="AU59" s="188"/>
      <c r="AV59" s="188"/>
      <c r="AW59" s="188"/>
      <c r="AX59" s="188"/>
      <c r="AY59" s="188"/>
      <c r="AZ59" s="188"/>
      <c r="BA59" s="188"/>
      <c r="BB59" s="188"/>
      <c r="BC59" s="188"/>
      <c r="BD59" s="188"/>
      <c r="BE59" s="188"/>
      <c r="BF59" s="188"/>
      <c r="BG59" s="188"/>
      <c r="BH59" s="188"/>
      <c r="BI59" s="188"/>
      <c r="BJ59" s="188"/>
      <c r="BK59" s="188"/>
      <c r="BL59" s="188"/>
      <c r="BM59" s="188"/>
      <c r="BN59" s="188"/>
      <c r="BO59" s="188"/>
      <c r="BP59" s="188"/>
    </row>
    <row r="60" spans="1:68" x14ac:dyDescent="0.15">
      <c r="A60" s="188"/>
      <c r="B60" s="188"/>
      <c r="C60" s="188"/>
      <c r="D60" s="188"/>
      <c r="E60" s="188"/>
      <c r="F60" s="188"/>
      <c r="G60" s="188"/>
      <c r="H60" s="188"/>
      <c r="I60" s="188"/>
      <c r="J60" s="188"/>
      <c r="K60" s="188"/>
      <c r="L60" s="188"/>
      <c r="M60" s="188"/>
      <c r="N60" s="188"/>
      <c r="O60" s="188"/>
      <c r="P60" s="188"/>
      <c r="Q60" s="188"/>
      <c r="R60" s="188"/>
      <c r="S60" s="188"/>
      <c r="T60" s="188"/>
      <c r="U60" s="188"/>
      <c r="V60" s="188"/>
      <c r="W60" s="188"/>
      <c r="X60" s="188"/>
      <c r="Y60" s="188"/>
      <c r="Z60" s="188"/>
      <c r="AA60" s="188"/>
      <c r="AB60" s="188"/>
      <c r="AC60" s="188"/>
      <c r="AD60" s="188"/>
      <c r="AE60" s="188"/>
      <c r="AF60" s="188"/>
      <c r="AG60" s="188"/>
      <c r="AH60" s="188"/>
      <c r="AI60" s="188"/>
      <c r="AJ60" s="188"/>
      <c r="AK60" s="188"/>
      <c r="AL60" s="188"/>
      <c r="AM60" s="188"/>
      <c r="AN60" s="188"/>
      <c r="AO60" s="188"/>
      <c r="AP60" s="188"/>
      <c r="AQ60" s="188"/>
      <c r="AR60" s="188"/>
      <c r="AS60" s="188"/>
      <c r="AT60" s="188"/>
      <c r="AU60" s="188"/>
      <c r="AV60" s="188"/>
      <c r="AW60" s="188"/>
      <c r="AX60" s="188"/>
      <c r="AY60" s="188"/>
      <c r="AZ60" s="188"/>
      <c r="BA60" s="188"/>
      <c r="BB60" s="188"/>
      <c r="BC60" s="188"/>
      <c r="BD60" s="188"/>
      <c r="BE60" s="188"/>
      <c r="BF60" s="188"/>
      <c r="BG60" s="188"/>
      <c r="BH60" s="188"/>
      <c r="BI60" s="188"/>
      <c r="BJ60" s="188"/>
      <c r="BK60" s="188"/>
      <c r="BL60" s="188"/>
      <c r="BM60" s="188"/>
      <c r="BN60" s="188"/>
      <c r="BO60" s="188"/>
      <c r="BP60" s="188"/>
    </row>
    <row r="61" spans="1:68" x14ac:dyDescent="0.15">
      <c r="A61" s="188"/>
      <c r="B61" s="188"/>
      <c r="C61" s="188"/>
      <c r="D61" s="188"/>
      <c r="E61" s="188"/>
      <c r="F61" s="188"/>
      <c r="G61" s="188"/>
      <c r="H61" s="188"/>
      <c r="I61" s="188"/>
      <c r="J61" s="188"/>
      <c r="K61" s="188"/>
      <c r="L61" s="188"/>
      <c r="M61" s="188"/>
      <c r="N61" s="188"/>
      <c r="O61" s="188"/>
      <c r="P61" s="188"/>
      <c r="Q61" s="188"/>
      <c r="R61" s="188"/>
      <c r="S61" s="188"/>
      <c r="T61" s="188"/>
      <c r="U61" s="188"/>
      <c r="V61" s="188"/>
      <c r="W61" s="188"/>
      <c r="X61" s="188"/>
      <c r="Y61" s="188"/>
      <c r="Z61" s="188"/>
      <c r="AA61" s="188"/>
      <c r="AB61" s="188"/>
      <c r="AC61" s="188"/>
      <c r="AD61" s="188"/>
      <c r="AE61" s="188"/>
      <c r="AF61" s="188"/>
      <c r="AG61" s="188"/>
      <c r="AH61" s="188"/>
      <c r="AI61" s="188"/>
      <c r="AJ61" s="188"/>
      <c r="AK61" s="188"/>
      <c r="AL61" s="188"/>
      <c r="AM61" s="188"/>
      <c r="AN61" s="188"/>
      <c r="AO61" s="188"/>
      <c r="AP61" s="188"/>
      <c r="AQ61" s="188"/>
      <c r="AR61" s="188"/>
      <c r="AS61" s="188"/>
      <c r="AT61" s="188"/>
      <c r="AU61" s="188"/>
      <c r="AV61" s="188"/>
      <c r="AW61" s="188"/>
      <c r="AX61" s="188"/>
      <c r="AY61" s="188"/>
      <c r="AZ61" s="188"/>
      <c r="BA61" s="188"/>
      <c r="BB61" s="188"/>
      <c r="BC61" s="188"/>
      <c r="BD61" s="188"/>
      <c r="BE61" s="188"/>
      <c r="BF61" s="188"/>
      <c r="BG61" s="188"/>
      <c r="BH61" s="188"/>
      <c r="BI61" s="188"/>
      <c r="BJ61" s="188"/>
      <c r="BK61" s="188"/>
      <c r="BL61" s="188"/>
      <c r="BM61" s="188"/>
      <c r="BN61" s="188"/>
      <c r="BO61" s="188"/>
      <c r="BP61" s="188"/>
    </row>
    <row r="62" spans="1:68" x14ac:dyDescent="0.15">
      <c r="A62" s="188"/>
      <c r="B62" s="188"/>
      <c r="C62" s="188"/>
      <c r="D62" s="188"/>
      <c r="E62" s="188"/>
      <c r="F62" s="188"/>
      <c r="G62" s="188"/>
      <c r="H62" s="188"/>
      <c r="I62" s="188"/>
      <c r="J62" s="188"/>
      <c r="K62" s="188"/>
      <c r="L62" s="188"/>
      <c r="M62" s="188"/>
      <c r="N62" s="188"/>
      <c r="O62" s="188"/>
      <c r="P62" s="188"/>
      <c r="Q62" s="188"/>
      <c r="R62" s="188"/>
      <c r="S62" s="188"/>
      <c r="T62" s="188"/>
      <c r="U62" s="188"/>
      <c r="V62" s="188"/>
      <c r="W62" s="188"/>
      <c r="X62" s="188"/>
      <c r="Y62" s="188"/>
      <c r="Z62" s="188"/>
      <c r="AA62" s="188"/>
      <c r="AB62" s="188"/>
      <c r="AC62" s="188"/>
      <c r="AD62" s="188"/>
      <c r="AE62" s="188"/>
      <c r="AF62" s="188"/>
      <c r="AG62" s="188"/>
      <c r="AH62" s="188"/>
      <c r="AI62" s="188"/>
      <c r="AJ62" s="188"/>
      <c r="AK62" s="188"/>
      <c r="AL62" s="188"/>
      <c r="AM62" s="188"/>
      <c r="AN62" s="188"/>
      <c r="AO62" s="188"/>
      <c r="AP62" s="188"/>
      <c r="AQ62" s="188"/>
      <c r="AR62" s="188"/>
      <c r="AS62" s="188"/>
      <c r="AT62" s="188"/>
      <c r="AU62" s="188"/>
      <c r="AV62" s="188"/>
      <c r="AW62" s="188"/>
      <c r="AX62" s="188"/>
      <c r="AY62" s="188"/>
      <c r="AZ62" s="188"/>
      <c r="BA62" s="188"/>
      <c r="BB62" s="188"/>
      <c r="BC62" s="188"/>
      <c r="BD62" s="188"/>
      <c r="BE62" s="188"/>
      <c r="BF62" s="188"/>
      <c r="BG62" s="188"/>
      <c r="BH62" s="188"/>
      <c r="BI62" s="188"/>
      <c r="BJ62" s="188"/>
      <c r="BK62" s="188"/>
      <c r="BL62" s="188"/>
      <c r="BM62" s="188"/>
      <c r="BN62" s="188"/>
      <c r="BO62" s="188"/>
      <c r="BP62" s="188"/>
    </row>
    <row r="63" spans="1:68" x14ac:dyDescent="0.15">
      <c r="A63" s="188"/>
      <c r="B63" s="188"/>
      <c r="C63" s="188"/>
      <c r="D63" s="188"/>
      <c r="E63" s="188"/>
      <c r="F63" s="188"/>
      <c r="G63" s="188"/>
      <c r="H63" s="188"/>
      <c r="I63" s="188"/>
      <c r="J63" s="188"/>
      <c r="K63" s="188"/>
      <c r="L63" s="188"/>
      <c r="M63" s="188"/>
      <c r="N63" s="188"/>
      <c r="O63" s="188"/>
      <c r="P63" s="188"/>
      <c r="Q63" s="188"/>
      <c r="R63" s="188"/>
      <c r="S63" s="188"/>
      <c r="T63" s="188"/>
      <c r="U63" s="188"/>
      <c r="V63" s="188"/>
      <c r="W63" s="188"/>
      <c r="X63" s="188"/>
      <c r="Y63" s="188"/>
      <c r="Z63" s="188"/>
      <c r="AA63" s="188"/>
      <c r="AB63" s="188"/>
      <c r="AC63" s="188"/>
      <c r="AD63" s="188"/>
      <c r="AE63" s="188"/>
      <c r="AF63" s="188"/>
      <c r="AG63" s="188"/>
      <c r="AH63" s="188"/>
      <c r="AI63" s="188"/>
      <c r="AJ63" s="188"/>
      <c r="AK63" s="188"/>
      <c r="AL63" s="188"/>
      <c r="AM63" s="188"/>
      <c r="AN63" s="188"/>
      <c r="AO63" s="188"/>
      <c r="AP63" s="188"/>
      <c r="AQ63" s="188"/>
      <c r="AR63" s="188"/>
      <c r="AS63" s="188"/>
      <c r="AT63" s="188"/>
      <c r="AU63" s="188"/>
      <c r="AV63" s="188"/>
      <c r="AW63" s="188"/>
      <c r="AX63" s="188"/>
      <c r="AY63" s="188"/>
      <c r="AZ63" s="188"/>
      <c r="BA63" s="188"/>
      <c r="BB63" s="188"/>
      <c r="BC63" s="188"/>
      <c r="BD63" s="188"/>
      <c r="BE63" s="188"/>
      <c r="BF63" s="188"/>
      <c r="BG63" s="188"/>
      <c r="BH63" s="188"/>
      <c r="BI63" s="188"/>
      <c r="BJ63" s="188"/>
      <c r="BK63" s="188"/>
      <c r="BL63" s="188"/>
      <c r="BM63" s="188"/>
      <c r="BN63" s="188"/>
      <c r="BO63" s="188"/>
      <c r="BP63" s="188"/>
    </row>
    <row r="64" spans="1:68" x14ac:dyDescent="0.15">
      <c r="A64" s="188"/>
      <c r="B64" s="188"/>
      <c r="C64" s="188"/>
      <c r="D64" s="188"/>
      <c r="E64" s="188"/>
      <c r="F64" s="188"/>
      <c r="G64" s="188"/>
      <c r="H64" s="188"/>
      <c r="I64" s="188"/>
      <c r="J64" s="188"/>
      <c r="K64" s="188"/>
      <c r="L64" s="188"/>
      <c r="M64" s="188"/>
      <c r="N64" s="188"/>
      <c r="O64" s="188"/>
      <c r="P64" s="188"/>
      <c r="Q64" s="188"/>
      <c r="R64" s="188"/>
      <c r="S64" s="188"/>
      <c r="T64" s="188"/>
      <c r="U64" s="188"/>
      <c r="V64" s="188"/>
      <c r="W64" s="188"/>
      <c r="X64" s="188"/>
      <c r="Y64" s="188"/>
      <c r="Z64" s="188"/>
      <c r="AA64" s="188"/>
      <c r="AB64" s="188"/>
      <c r="AC64" s="188"/>
      <c r="AD64" s="188"/>
      <c r="AE64" s="188"/>
      <c r="AF64" s="188"/>
      <c r="AG64" s="188"/>
      <c r="AH64" s="188"/>
      <c r="AI64" s="188"/>
      <c r="AJ64" s="188"/>
      <c r="AK64" s="188"/>
      <c r="AL64" s="188"/>
      <c r="AM64" s="188"/>
      <c r="AN64" s="188"/>
      <c r="AO64" s="188"/>
      <c r="AP64" s="188"/>
      <c r="AQ64" s="188"/>
      <c r="AR64" s="188"/>
      <c r="AS64" s="188"/>
      <c r="AT64" s="188"/>
      <c r="AU64" s="188"/>
      <c r="AV64" s="188"/>
      <c r="AW64" s="188"/>
      <c r="AX64" s="188"/>
      <c r="AY64" s="188"/>
      <c r="AZ64" s="188"/>
      <c r="BA64" s="188"/>
      <c r="BB64" s="188"/>
      <c r="BC64" s="188"/>
      <c r="BD64" s="188"/>
      <c r="BE64" s="188"/>
      <c r="BF64" s="188"/>
      <c r="BG64" s="188"/>
      <c r="BH64" s="188"/>
      <c r="BI64" s="188"/>
      <c r="BJ64" s="188"/>
      <c r="BK64" s="188"/>
      <c r="BL64" s="188"/>
      <c r="BM64" s="188"/>
      <c r="BN64" s="188"/>
      <c r="BO64" s="188"/>
      <c r="BP64" s="188"/>
    </row>
    <row r="65" spans="1:68" x14ac:dyDescent="0.15">
      <c r="A65" s="188"/>
      <c r="B65" s="188"/>
      <c r="C65" s="188"/>
      <c r="D65" s="188"/>
      <c r="E65" s="188"/>
      <c r="F65" s="188"/>
      <c r="G65" s="188"/>
      <c r="H65" s="188"/>
      <c r="I65" s="188"/>
      <c r="J65" s="188"/>
      <c r="K65" s="188"/>
      <c r="L65" s="188"/>
      <c r="M65" s="188"/>
      <c r="N65" s="188"/>
      <c r="O65" s="188"/>
      <c r="P65" s="188"/>
      <c r="Q65" s="188"/>
      <c r="R65" s="188"/>
      <c r="S65" s="188"/>
      <c r="T65" s="188"/>
      <c r="U65" s="188"/>
      <c r="V65" s="188"/>
      <c r="W65" s="188"/>
      <c r="X65" s="188"/>
      <c r="Y65" s="188"/>
      <c r="Z65" s="188"/>
      <c r="AA65" s="188"/>
      <c r="AB65" s="188"/>
      <c r="AC65" s="188"/>
      <c r="AD65" s="188"/>
      <c r="AE65" s="188"/>
      <c r="AF65" s="188"/>
      <c r="AG65" s="188"/>
      <c r="AH65" s="188"/>
      <c r="AI65" s="188"/>
      <c r="AJ65" s="188"/>
      <c r="AK65" s="188"/>
      <c r="AL65" s="188"/>
      <c r="AM65" s="188"/>
      <c r="AN65" s="188"/>
      <c r="AO65" s="188"/>
      <c r="AP65" s="188"/>
      <c r="AQ65" s="188"/>
      <c r="AR65" s="188"/>
      <c r="AS65" s="188"/>
      <c r="AT65" s="188"/>
      <c r="AU65" s="188"/>
      <c r="AV65" s="188"/>
      <c r="AW65" s="188"/>
      <c r="AX65" s="188"/>
      <c r="AY65" s="188"/>
      <c r="AZ65" s="188"/>
      <c r="BA65" s="188"/>
      <c r="BB65" s="188"/>
      <c r="BC65" s="188"/>
      <c r="BD65" s="188"/>
      <c r="BE65" s="188"/>
      <c r="BF65" s="188"/>
      <c r="BG65" s="188"/>
      <c r="BH65" s="188"/>
      <c r="BI65" s="188"/>
      <c r="BJ65" s="188"/>
      <c r="BK65" s="188"/>
      <c r="BL65" s="188"/>
      <c r="BM65" s="188"/>
      <c r="BN65" s="188"/>
      <c r="BO65" s="188"/>
      <c r="BP65" s="188"/>
    </row>
    <row r="66" spans="1:68" x14ac:dyDescent="0.15">
      <c r="A66" s="188"/>
      <c r="B66" s="188"/>
      <c r="C66" s="188"/>
      <c r="D66" s="188"/>
      <c r="E66" s="188"/>
      <c r="F66" s="188"/>
      <c r="G66" s="188"/>
      <c r="H66" s="188"/>
      <c r="I66" s="188"/>
      <c r="J66" s="188"/>
      <c r="K66" s="188"/>
      <c r="L66" s="188"/>
      <c r="M66" s="188"/>
      <c r="N66" s="188"/>
      <c r="O66" s="188"/>
      <c r="P66" s="188"/>
      <c r="Q66" s="188"/>
      <c r="R66" s="188"/>
      <c r="S66" s="188"/>
      <c r="T66" s="188"/>
      <c r="U66" s="188"/>
      <c r="V66" s="188"/>
      <c r="W66" s="188"/>
      <c r="X66" s="188"/>
      <c r="Y66" s="188"/>
      <c r="Z66" s="188"/>
      <c r="AA66" s="188"/>
      <c r="AB66" s="188"/>
      <c r="AC66" s="188"/>
      <c r="AD66" s="188"/>
      <c r="AE66" s="188"/>
      <c r="AF66" s="188"/>
      <c r="AG66" s="188"/>
      <c r="AH66" s="188"/>
      <c r="AI66" s="188"/>
      <c r="AJ66" s="188"/>
      <c r="AK66" s="188"/>
      <c r="AL66" s="188"/>
      <c r="AM66" s="188"/>
      <c r="AN66" s="188"/>
      <c r="AO66" s="188"/>
      <c r="AP66" s="188"/>
      <c r="AQ66" s="188"/>
      <c r="AR66" s="188"/>
      <c r="AS66" s="188"/>
      <c r="AT66" s="188"/>
      <c r="AU66" s="188"/>
      <c r="AV66" s="188"/>
      <c r="AW66" s="188"/>
      <c r="AX66" s="188"/>
      <c r="AY66" s="188"/>
      <c r="AZ66" s="188"/>
      <c r="BA66" s="188"/>
      <c r="BB66" s="188"/>
      <c r="BC66" s="188"/>
      <c r="BD66" s="188"/>
      <c r="BE66" s="188"/>
      <c r="BF66" s="188"/>
      <c r="BG66" s="188"/>
      <c r="BH66" s="188"/>
      <c r="BI66" s="188"/>
      <c r="BJ66" s="188"/>
      <c r="BK66" s="188"/>
      <c r="BL66" s="188"/>
      <c r="BM66" s="188"/>
      <c r="BN66" s="188"/>
      <c r="BO66" s="188"/>
      <c r="BP66" s="188"/>
    </row>
    <row r="67" spans="1:68" x14ac:dyDescent="0.15">
      <c r="A67" s="188"/>
      <c r="B67" s="188"/>
      <c r="C67" s="188"/>
      <c r="D67" s="188"/>
      <c r="E67" s="188"/>
      <c r="F67" s="188"/>
      <c r="G67" s="188"/>
      <c r="H67" s="188"/>
      <c r="I67" s="188"/>
      <c r="J67" s="188"/>
      <c r="K67" s="188"/>
      <c r="L67" s="188"/>
      <c r="M67" s="188"/>
      <c r="N67" s="188"/>
      <c r="O67" s="188"/>
      <c r="P67" s="188"/>
      <c r="Q67" s="188"/>
      <c r="R67" s="188"/>
      <c r="S67" s="188"/>
      <c r="T67" s="188"/>
      <c r="U67" s="188"/>
      <c r="V67" s="188"/>
      <c r="W67" s="188"/>
      <c r="X67" s="188"/>
      <c r="Y67" s="188"/>
      <c r="Z67" s="188"/>
      <c r="AA67" s="188"/>
      <c r="AB67" s="188"/>
      <c r="AC67" s="188"/>
      <c r="AD67" s="188"/>
      <c r="AE67" s="188"/>
      <c r="AF67" s="188"/>
      <c r="AG67" s="188"/>
      <c r="AH67" s="188"/>
      <c r="AI67" s="188"/>
      <c r="AJ67" s="188"/>
      <c r="AK67" s="188"/>
      <c r="AL67" s="188"/>
      <c r="AM67" s="188"/>
      <c r="AN67" s="188"/>
      <c r="AO67" s="188"/>
      <c r="AP67" s="188"/>
      <c r="AQ67" s="188"/>
      <c r="AR67" s="188"/>
      <c r="AS67" s="188"/>
      <c r="AT67" s="188"/>
      <c r="AU67" s="188"/>
      <c r="AV67" s="188"/>
      <c r="AW67" s="188"/>
      <c r="AX67" s="188"/>
      <c r="AY67" s="188"/>
      <c r="AZ67" s="188"/>
      <c r="BA67" s="188"/>
      <c r="BB67" s="188"/>
      <c r="BC67" s="188"/>
      <c r="BD67" s="188"/>
      <c r="BE67" s="188"/>
      <c r="BF67" s="188"/>
      <c r="BG67" s="188"/>
      <c r="BH67" s="188"/>
      <c r="BI67" s="188"/>
      <c r="BJ67" s="188"/>
      <c r="BK67" s="188"/>
      <c r="BL67" s="188"/>
      <c r="BM67" s="188"/>
      <c r="BN67" s="188"/>
      <c r="BO67" s="188"/>
      <c r="BP67" s="188"/>
    </row>
    <row r="68" spans="1:68" x14ac:dyDescent="0.15">
      <c r="A68" s="188"/>
      <c r="B68" s="188"/>
      <c r="C68" s="188"/>
      <c r="D68" s="188"/>
      <c r="E68" s="188"/>
      <c r="F68" s="188"/>
      <c r="G68" s="188"/>
      <c r="H68" s="188"/>
      <c r="I68" s="188"/>
      <c r="J68" s="188"/>
      <c r="K68" s="188"/>
      <c r="L68" s="188"/>
      <c r="M68" s="188"/>
      <c r="N68" s="188"/>
      <c r="O68" s="188"/>
      <c r="P68" s="188"/>
      <c r="Q68" s="188"/>
      <c r="R68" s="188"/>
      <c r="S68" s="188"/>
      <c r="T68" s="188"/>
      <c r="U68" s="188"/>
      <c r="V68" s="188"/>
      <c r="W68" s="188"/>
      <c r="X68" s="188"/>
      <c r="Y68" s="188"/>
      <c r="Z68" s="188"/>
      <c r="AA68" s="188"/>
      <c r="AB68" s="188"/>
      <c r="AC68" s="188"/>
      <c r="AD68" s="188"/>
      <c r="AE68" s="188"/>
      <c r="AF68" s="188"/>
      <c r="AG68" s="188"/>
      <c r="AH68" s="188"/>
      <c r="AI68" s="188"/>
      <c r="AJ68" s="188"/>
      <c r="AK68" s="188"/>
      <c r="AL68" s="188"/>
      <c r="AM68" s="188"/>
      <c r="AN68" s="188"/>
      <c r="AO68" s="188"/>
      <c r="AP68" s="188"/>
      <c r="AQ68" s="188"/>
      <c r="AR68" s="188"/>
      <c r="AS68" s="188"/>
      <c r="AT68" s="188"/>
      <c r="AU68" s="188"/>
      <c r="AV68" s="188"/>
      <c r="AW68" s="188"/>
      <c r="AX68" s="188"/>
      <c r="AY68" s="188"/>
      <c r="AZ68" s="188"/>
      <c r="BA68" s="188"/>
      <c r="BB68" s="188"/>
      <c r="BC68" s="188"/>
      <c r="BD68" s="188"/>
      <c r="BE68" s="188"/>
      <c r="BF68" s="188"/>
      <c r="BG68" s="188"/>
      <c r="BH68" s="188"/>
      <c r="BI68" s="188"/>
      <c r="BJ68" s="188"/>
      <c r="BK68" s="188"/>
      <c r="BL68" s="188"/>
      <c r="BM68" s="188"/>
      <c r="BN68" s="188"/>
      <c r="BO68" s="188"/>
      <c r="BP68" s="188"/>
    </row>
    <row r="69" spans="1:68" x14ac:dyDescent="0.15">
      <c r="A69" s="188"/>
      <c r="B69" s="188"/>
      <c r="C69" s="188"/>
      <c r="D69" s="188"/>
      <c r="E69" s="188"/>
      <c r="F69" s="188"/>
      <c r="G69" s="188"/>
      <c r="H69" s="188"/>
      <c r="I69" s="188"/>
      <c r="J69" s="188"/>
      <c r="K69" s="188"/>
      <c r="L69" s="188"/>
      <c r="M69" s="188"/>
      <c r="N69" s="188"/>
      <c r="O69" s="188"/>
      <c r="P69" s="188"/>
      <c r="Q69" s="188"/>
      <c r="R69" s="188"/>
      <c r="S69" s="188"/>
      <c r="T69" s="188"/>
      <c r="U69" s="188"/>
      <c r="V69" s="188"/>
      <c r="W69" s="188"/>
      <c r="X69" s="188"/>
      <c r="Y69" s="188"/>
      <c r="Z69" s="188"/>
      <c r="AA69" s="188"/>
      <c r="AB69" s="188"/>
      <c r="AC69" s="188"/>
      <c r="AD69" s="188"/>
      <c r="AE69" s="188"/>
      <c r="AF69" s="188"/>
      <c r="AG69" s="188"/>
      <c r="AH69" s="188"/>
      <c r="AI69" s="188"/>
      <c r="AJ69" s="188"/>
      <c r="AK69" s="188"/>
      <c r="AL69" s="188"/>
      <c r="AM69" s="188"/>
      <c r="AN69" s="188"/>
      <c r="AO69" s="188"/>
      <c r="AP69" s="188"/>
      <c r="AQ69" s="188"/>
      <c r="AR69" s="188"/>
      <c r="AS69" s="188"/>
      <c r="AT69" s="188"/>
      <c r="AU69" s="188"/>
      <c r="AV69" s="188"/>
      <c r="AW69" s="188"/>
      <c r="AX69" s="188"/>
      <c r="AY69" s="188"/>
      <c r="AZ69" s="188"/>
      <c r="BA69" s="188"/>
      <c r="BB69" s="188"/>
      <c r="BC69" s="188"/>
      <c r="BD69" s="188"/>
      <c r="BE69" s="188"/>
      <c r="BF69" s="188"/>
      <c r="BG69" s="188"/>
      <c r="BH69" s="188"/>
      <c r="BI69" s="188"/>
      <c r="BJ69" s="188"/>
      <c r="BK69" s="188"/>
      <c r="BL69" s="188"/>
      <c r="BM69" s="188"/>
      <c r="BN69" s="188"/>
      <c r="BO69" s="188"/>
      <c r="BP69" s="188"/>
    </row>
    <row r="70" spans="1:68" x14ac:dyDescent="0.15">
      <c r="A70" s="188"/>
      <c r="B70" s="188"/>
      <c r="C70" s="188"/>
      <c r="D70" s="188"/>
      <c r="E70" s="188"/>
      <c r="F70" s="188"/>
      <c r="G70" s="188"/>
      <c r="H70" s="188"/>
      <c r="I70" s="188"/>
      <c r="J70" s="188"/>
      <c r="K70" s="188"/>
      <c r="L70" s="188"/>
      <c r="M70" s="188"/>
      <c r="N70" s="188"/>
      <c r="O70" s="188"/>
      <c r="P70" s="188"/>
      <c r="Q70" s="188"/>
      <c r="R70" s="188"/>
      <c r="S70" s="188"/>
      <c r="T70" s="188"/>
      <c r="U70" s="188"/>
      <c r="V70" s="188"/>
      <c r="W70" s="188"/>
      <c r="X70" s="188"/>
      <c r="Y70" s="188"/>
      <c r="Z70" s="188"/>
      <c r="AA70" s="188"/>
      <c r="AB70" s="188"/>
      <c r="AC70" s="188"/>
      <c r="AD70" s="188"/>
      <c r="AE70" s="188"/>
      <c r="AF70" s="188"/>
      <c r="AG70" s="188"/>
      <c r="AH70" s="188"/>
      <c r="AI70" s="188"/>
      <c r="AJ70" s="188"/>
      <c r="AK70" s="188"/>
      <c r="AL70" s="188"/>
      <c r="AM70" s="188"/>
      <c r="AN70" s="188"/>
      <c r="AO70" s="188"/>
      <c r="AP70" s="188"/>
      <c r="AQ70" s="188"/>
      <c r="AR70" s="188"/>
      <c r="AS70" s="188"/>
      <c r="AT70" s="188"/>
      <c r="AU70" s="188"/>
      <c r="AV70" s="188"/>
      <c r="AW70" s="188"/>
      <c r="AX70" s="188"/>
      <c r="AY70" s="188"/>
      <c r="AZ70" s="188"/>
      <c r="BA70" s="188"/>
      <c r="BB70" s="188"/>
      <c r="BC70" s="188"/>
      <c r="BD70" s="188"/>
      <c r="BE70" s="188"/>
      <c r="BF70" s="188"/>
      <c r="BG70" s="188"/>
      <c r="BH70" s="188"/>
      <c r="BI70" s="188"/>
      <c r="BJ70" s="188"/>
      <c r="BK70" s="188"/>
      <c r="BL70" s="188"/>
      <c r="BM70" s="188"/>
      <c r="BN70" s="188"/>
      <c r="BO70" s="188"/>
      <c r="BP70" s="188"/>
    </row>
    <row r="71" spans="1:68" x14ac:dyDescent="0.15">
      <c r="A71" s="188"/>
      <c r="B71" s="188"/>
      <c r="C71" s="188"/>
      <c r="D71" s="188"/>
      <c r="E71" s="188"/>
      <c r="F71" s="188"/>
      <c r="G71" s="188"/>
      <c r="H71" s="188"/>
      <c r="I71" s="188"/>
      <c r="J71" s="188"/>
      <c r="K71" s="188"/>
      <c r="L71" s="188"/>
      <c r="M71" s="188"/>
      <c r="N71" s="188"/>
      <c r="O71" s="188"/>
      <c r="P71" s="188"/>
      <c r="Q71" s="188"/>
      <c r="R71" s="188"/>
      <c r="S71" s="188"/>
      <c r="T71" s="188"/>
      <c r="U71" s="188"/>
      <c r="V71" s="188"/>
      <c r="W71" s="188"/>
      <c r="X71" s="188"/>
      <c r="Y71" s="188"/>
      <c r="Z71" s="188"/>
      <c r="AA71" s="188"/>
      <c r="AB71" s="188"/>
      <c r="AC71" s="188"/>
      <c r="AD71" s="188"/>
      <c r="AE71" s="188"/>
      <c r="AF71" s="188"/>
      <c r="AG71" s="188"/>
      <c r="AH71" s="188"/>
      <c r="AI71" s="188"/>
      <c r="AJ71" s="188"/>
      <c r="AK71" s="188"/>
      <c r="AL71" s="188"/>
      <c r="AM71" s="188"/>
      <c r="AN71" s="188"/>
      <c r="AO71" s="188"/>
      <c r="AP71" s="188"/>
      <c r="AQ71" s="188"/>
      <c r="AR71" s="188"/>
      <c r="AS71" s="188"/>
      <c r="AT71" s="188"/>
      <c r="AU71" s="188"/>
      <c r="AV71" s="188"/>
      <c r="AW71" s="188"/>
      <c r="AX71" s="188"/>
      <c r="AY71" s="188"/>
      <c r="AZ71" s="188"/>
      <c r="BA71" s="188"/>
      <c r="BB71" s="188"/>
      <c r="BC71" s="188"/>
      <c r="BD71" s="188"/>
      <c r="BE71" s="188"/>
      <c r="BF71" s="188"/>
      <c r="BG71" s="188"/>
      <c r="BH71" s="188"/>
      <c r="BI71" s="188"/>
      <c r="BJ71" s="188"/>
      <c r="BK71" s="188"/>
      <c r="BL71" s="188"/>
      <c r="BM71" s="188"/>
      <c r="BN71" s="188"/>
      <c r="BO71" s="188"/>
      <c r="BP71" s="188"/>
    </row>
    <row r="72" spans="1:68" x14ac:dyDescent="0.15">
      <c r="A72" s="188"/>
      <c r="B72" s="188"/>
      <c r="C72" s="188"/>
      <c r="D72" s="188"/>
      <c r="E72" s="188"/>
      <c r="F72" s="188"/>
      <c r="G72" s="188"/>
      <c r="H72" s="188"/>
      <c r="I72" s="188"/>
      <c r="J72" s="188"/>
      <c r="K72" s="188"/>
      <c r="L72" s="188"/>
      <c r="M72" s="188"/>
      <c r="N72" s="188"/>
      <c r="O72" s="188"/>
      <c r="P72" s="188"/>
      <c r="Q72" s="188"/>
      <c r="R72" s="188"/>
      <c r="S72" s="188"/>
      <c r="T72" s="188"/>
      <c r="U72" s="188"/>
      <c r="V72" s="188"/>
      <c r="W72" s="188"/>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88"/>
      <c r="AX72" s="188"/>
      <c r="AY72" s="188"/>
      <c r="AZ72" s="188"/>
      <c r="BA72" s="188"/>
      <c r="BB72" s="188"/>
      <c r="BC72" s="188"/>
      <c r="BD72" s="188"/>
      <c r="BE72" s="188"/>
      <c r="BF72" s="188"/>
      <c r="BG72" s="188"/>
      <c r="BH72" s="188"/>
      <c r="BI72" s="188"/>
      <c r="BJ72" s="188"/>
      <c r="BK72" s="188"/>
      <c r="BL72" s="188"/>
      <c r="BM72" s="188"/>
      <c r="BN72" s="188"/>
      <c r="BO72" s="188"/>
      <c r="BP72" s="188"/>
    </row>
    <row r="73" spans="1:68" x14ac:dyDescent="0.15">
      <c r="A73" s="188"/>
      <c r="B73" s="188"/>
      <c r="C73" s="188"/>
      <c r="D73" s="188"/>
      <c r="E73" s="188"/>
      <c r="F73" s="188"/>
      <c r="G73" s="188"/>
      <c r="H73" s="188"/>
      <c r="I73" s="188"/>
      <c r="J73" s="188"/>
      <c r="K73" s="188"/>
      <c r="L73" s="188"/>
      <c r="M73" s="188"/>
      <c r="N73" s="188"/>
      <c r="O73" s="188"/>
      <c r="P73" s="188"/>
      <c r="Q73" s="188"/>
      <c r="R73" s="188"/>
      <c r="S73" s="188"/>
      <c r="T73" s="188"/>
      <c r="U73" s="188"/>
      <c r="V73" s="188"/>
      <c r="W73" s="188"/>
      <c r="X73" s="188"/>
      <c r="Y73" s="188"/>
      <c r="Z73" s="188"/>
      <c r="AA73" s="188"/>
      <c r="AB73" s="188"/>
      <c r="AC73" s="188"/>
      <c r="AD73" s="188"/>
      <c r="AE73" s="188"/>
      <c r="AF73" s="188"/>
      <c r="AG73" s="188"/>
      <c r="AH73" s="188"/>
      <c r="AI73" s="188"/>
      <c r="AJ73" s="188"/>
      <c r="AK73" s="188"/>
      <c r="AL73" s="188"/>
      <c r="AM73" s="188"/>
      <c r="AN73" s="188"/>
      <c r="AO73" s="188"/>
      <c r="AP73" s="188"/>
      <c r="AQ73" s="188"/>
      <c r="AR73" s="188"/>
      <c r="AS73" s="188"/>
      <c r="AT73" s="188"/>
      <c r="AU73" s="188"/>
      <c r="AV73" s="188"/>
      <c r="AW73" s="188"/>
      <c r="AX73" s="188"/>
      <c r="AY73" s="188"/>
      <c r="AZ73" s="188"/>
      <c r="BA73" s="188"/>
      <c r="BB73" s="188"/>
      <c r="BC73" s="188"/>
      <c r="BD73" s="188"/>
      <c r="BE73" s="188"/>
      <c r="BF73" s="188"/>
      <c r="BG73" s="188"/>
      <c r="BH73" s="188"/>
      <c r="BI73" s="188"/>
      <c r="BJ73" s="188"/>
      <c r="BK73" s="188"/>
      <c r="BL73" s="188"/>
      <c r="BM73" s="188"/>
      <c r="BN73" s="188"/>
      <c r="BO73" s="188"/>
    </row>
  </sheetData>
  <mergeCells count="1">
    <mergeCell ref="B43:AL45"/>
  </mergeCells>
  <phoneticPr fontId="0" type="noConversion"/>
  <printOptions gridLinesSet="0"/>
  <pageMargins left="0" right="0" top="0" bottom="0" header="0.5" footer="0.5"/>
  <pageSetup paperSize="0" fitToHeight="0" orientation="landscape" horizontalDpi="0" verticalDpi="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C8B79-90CA-41A4-B09C-29D76DF5731C}">
  <sheetPr>
    <outlinePr summaryBelow="0" summaryRight="0"/>
    <pageSetUpPr autoPageBreaks="0" fitToPage="1"/>
  </sheetPr>
  <dimension ref="A1:BP124"/>
  <sheetViews>
    <sheetView showGridLines="0" zoomScale="75" zoomScaleNormal="75" zoomScaleSheetLayoutView="75" workbookViewId="0"/>
  </sheetViews>
  <sheetFormatPr defaultRowHeight="12.75" x14ac:dyDescent="0.15"/>
  <cols>
    <col min="1" max="1" width="1.75" customWidth="1"/>
    <col min="2" max="2" width="9.70703125" customWidth="1"/>
    <col min="3" max="3" width="47.73828125" customWidth="1"/>
    <col min="4" max="4" width="25.75390625" customWidth="1"/>
    <col min="5" max="7" width="9.70703125" customWidth="1"/>
    <col min="8" max="9" width="7.68359375" customWidth="1"/>
    <col min="10" max="37" width="3.234375" customWidth="1"/>
    <col min="38" max="38" width="1.75" customWidth="1"/>
  </cols>
  <sheetData>
    <row r="1" spans="2:68" ht="30" customHeight="1" x14ac:dyDescent="0.25">
      <c r="B1" s="168" t="s">
        <v>247</v>
      </c>
      <c r="E1" s="105"/>
      <c r="F1" s="105"/>
      <c r="G1" s="105"/>
      <c r="H1" s="105"/>
      <c r="I1" s="105"/>
      <c r="J1" s="105"/>
      <c r="K1" s="105"/>
      <c r="L1" s="105"/>
      <c r="M1" s="105"/>
      <c r="N1" s="106"/>
      <c r="O1" s="107"/>
      <c r="P1" s="107"/>
      <c r="Q1" s="107"/>
      <c r="R1" s="107"/>
      <c r="S1" s="108"/>
      <c r="T1" s="108"/>
      <c r="U1" s="108"/>
      <c r="V1" s="108"/>
      <c r="W1" s="108"/>
      <c r="X1" s="108"/>
      <c r="Y1" s="108"/>
      <c r="Z1" s="108"/>
      <c r="AA1" s="108"/>
      <c r="AB1" s="108"/>
      <c r="AC1" s="108"/>
      <c r="AD1" s="108"/>
      <c r="AE1" s="108"/>
      <c r="AF1" s="108"/>
      <c r="AG1" s="108"/>
      <c r="AH1" s="107"/>
      <c r="AI1" s="107"/>
      <c r="AJ1" s="107"/>
      <c r="AK1" s="107"/>
      <c r="AL1" s="107"/>
      <c r="AM1" s="187"/>
      <c r="AN1" s="187"/>
      <c r="AO1" s="187"/>
      <c r="AP1" s="187"/>
      <c r="AQ1" s="187"/>
      <c r="AR1" s="187"/>
      <c r="AS1" s="187"/>
      <c r="AT1" s="187"/>
      <c r="AU1" s="187"/>
      <c r="AV1" s="187"/>
      <c r="AW1" s="188"/>
      <c r="AX1" s="188"/>
      <c r="AY1" s="188"/>
      <c r="AZ1" s="188"/>
      <c r="BA1" s="188"/>
      <c r="BB1" s="188"/>
      <c r="BC1" s="188"/>
      <c r="BD1" s="188"/>
      <c r="BE1" s="188"/>
      <c r="BF1" s="188"/>
      <c r="BG1" s="188"/>
      <c r="BH1" s="188"/>
      <c r="BI1" s="188"/>
      <c r="BJ1" s="188"/>
      <c r="BK1" s="188"/>
      <c r="BL1" s="188"/>
      <c r="BM1" s="188"/>
      <c r="BN1" s="188"/>
      <c r="BO1" s="188"/>
      <c r="BP1" s="188"/>
    </row>
    <row r="2" spans="2:68" ht="20.100000000000001" customHeight="1" x14ac:dyDescent="0.15">
      <c r="B2" t="s">
        <v>1</v>
      </c>
      <c r="E2" s="105"/>
      <c r="F2" s="105"/>
      <c r="G2" s="105"/>
      <c r="H2" s="105"/>
      <c r="I2" s="105"/>
      <c r="J2" s="105"/>
      <c r="K2" s="105"/>
      <c r="L2" s="105"/>
      <c r="M2" s="105"/>
      <c r="N2" s="106"/>
      <c r="O2" s="107"/>
      <c r="P2" s="107"/>
      <c r="Q2" s="107"/>
      <c r="R2" s="107"/>
      <c r="S2" s="108"/>
      <c r="T2" s="108"/>
      <c r="U2" s="108"/>
      <c r="V2" s="108"/>
      <c r="W2" s="108"/>
      <c r="X2" s="108"/>
      <c r="Y2" s="108"/>
      <c r="Z2" s="108"/>
      <c r="AA2" s="108"/>
      <c r="AB2" s="108"/>
      <c r="AC2" s="108"/>
      <c r="AD2" s="108"/>
      <c r="AE2" s="108"/>
      <c r="AF2" s="108"/>
      <c r="AG2" s="108"/>
      <c r="AM2" s="28"/>
      <c r="AN2" s="28"/>
      <c r="AO2" s="28"/>
      <c r="AP2" s="28"/>
      <c r="AQ2" s="28"/>
      <c r="AR2" s="28"/>
      <c r="AS2" s="28"/>
      <c r="AT2" s="28"/>
      <c r="AU2" s="28"/>
      <c r="AV2" s="28"/>
      <c r="AW2" s="188"/>
      <c r="AX2" s="188"/>
      <c r="AY2" s="188"/>
      <c r="AZ2" s="188"/>
      <c r="BA2" s="188"/>
      <c r="BB2" s="188"/>
      <c r="BC2" s="188"/>
      <c r="BD2" s="188"/>
      <c r="BE2" s="188"/>
      <c r="BF2" s="188"/>
      <c r="BG2" s="188"/>
      <c r="BH2" s="188"/>
      <c r="BI2" s="188"/>
      <c r="BJ2" s="188"/>
      <c r="BK2" s="188"/>
      <c r="BL2" s="188"/>
      <c r="BM2" s="188"/>
      <c r="BN2" s="188"/>
      <c r="BO2" s="188"/>
      <c r="BP2" s="188"/>
    </row>
    <row r="3" spans="2:68" ht="20.100000000000001" customHeight="1" x14ac:dyDescent="0.15">
      <c r="B3" t="s">
        <v>2</v>
      </c>
      <c r="E3" s="105"/>
      <c r="F3" s="105"/>
      <c r="G3" s="105"/>
      <c r="H3" s="105"/>
      <c r="I3" s="105"/>
      <c r="J3" s="105"/>
      <c r="K3" s="105"/>
      <c r="L3" s="105"/>
      <c r="M3" s="105"/>
      <c r="N3" s="106"/>
      <c r="O3" s="107"/>
      <c r="P3" s="107"/>
      <c r="Q3" s="107"/>
      <c r="R3" s="107"/>
      <c r="S3" s="108"/>
      <c r="T3" s="108"/>
      <c r="U3" s="108"/>
      <c r="V3" s="108"/>
      <c r="W3" s="108"/>
      <c r="X3" s="108"/>
      <c r="Y3" s="108"/>
      <c r="Z3" s="108"/>
      <c r="AA3" s="108"/>
      <c r="AB3" s="108"/>
      <c r="AC3" s="108"/>
      <c r="AD3" s="108"/>
      <c r="AE3" s="108"/>
      <c r="AF3" s="108"/>
      <c r="AG3" s="108"/>
      <c r="AM3" s="28"/>
      <c r="AN3" s="28"/>
      <c r="AO3" s="28"/>
      <c r="AP3" s="28"/>
      <c r="AQ3" s="28"/>
      <c r="AR3" s="28"/>
      <c r="AS3" s="28"/>
      <c r="AT3" s="28"/>
      <c r="AU3" s="28"/>
      <c r="AV3" s="28"/>
      <c r="AW3" s="188"/>
      <c r="AX3" s="188"/>
      <c r="AY3" s="188"/>
      <c r="AZ3" s="188"/>
      <c r="BA3" s="188"/>
      <c r="BB3" s="188"/>
      <c r="BC3" s="188"/>
      <c r="BD3" s="188"/>
      <c r="BE3" s="188"/>
      <c r="BF3" s="188"/>
      <c r="BG3" s="188"/>
      <c r="BH3" s="188"/>
      <c r="BI3" s="188"/>
      <c r="BJ3" s="188"/>
      <c r="BK3" s="188"/>
      <c r="BL3" s="188"/>
      <c r="BM3" s="188"/>
      <c r="BN3" s="188"/>
      <c r="BO3" s="188"/>
      <c r="BP3" s="188"/>
    </row>
    <row r="4" spans="2:68" ht="15" customHeight="1" x14ac:dyDescent="0.15">
      <c r="E4" s="107"/>
      <c r="F4" s="106"/>
      <c r="G4" s="107"/>
      <c r="H4" s="106"/>
      <c r="I4" s="107"/>
      <c r="J4" s="106"/>
      <c r="K4" s="107"/>
      <c r="L4" s="106"/>
      <c r="M4" s="107"/>
      <c r="N4" s="106"/>
      <c r="O4" s="109"/>
      <c r="P4" s="110"/>
      <c r="Q4" s="110"/>
      <c r="R4" s="107"/>
      <c r="S4" s="108"/>
      <c r="T4" s="108"/>
      <c r="U4" s="108"/>
      <c r="V4" s="108"/>
      <c r="W4" s="108"/>
      <c r="X4" s="108"/>
      <c r="Y4" s="108"/>
      <c r="Z4" s="108"/>
      <c r="AA4" s="108"/>
      <c r="AB4" s="108"/>
      <c r="AC4" s="108"/>
      <c r="AD4" s="108"/>
      <c r="AE4" s="108"/>
      <c r="AF4" s="108"/>
      <c r="AG4" s="108"/>
      <c r="AH4" s="107"/>
      <c r="AI4" s="107"/>
      <c r="AJ4" s="107"/>
      <c r="AK4" s="107"/>
      <c r="AL4" s="107"/>
      <c r="AM4" s="187"/>
      <c r="AN4" s="187"/>
      <c r="AO4" s="187"/>
      <c r="AP4" s="187"/>
      <c r="AQ4" s="187"/>
      <c r="AR4" s="187"/>
      <c r="AS4" s="187"/>
      <c r="AT4" s="187"/>
      <c r="AU4" s="187"/>
      <c r="AV4" s="187"/>
      <c r="AW4" s="188"/>
      <c r="AX4" s="188"/>
      <c r="AY4" s="188"/>
      <c r="AZ4" s="188"/>
      <c r="BA4" s="188"/>
      <c r="BB4" s="188"/>
      <c r="BC4" s="188"/>
      <c r="BD4" s="188"/>
      <c r="BE4" s="188"/>
      <c r="BF4" s="188"/>
      <c r="BG4" s="188"/>
      <c r="BH4" s="188"/>
      <c r="BI4" s="188"/>
      <c r="BJ4" s="188"/>
      <c r="BK4" s="188"/>
      <c r="BL4" s="188"/>
      <c r="BM4" s="188"/>
      <c r="BN4" s="188"/>
      <c r="BO4" s="188"/>
      <c r="BP4" s="188"/>
    </row>
    <row r="5" spans="2:68" ht="15" customHeight="1" x14ac:dyDescent="0.15">
      <c r="E5" s="111"/>
      <c r="F5" s="111"/>
      <c r="G5" s="111"/>
      <c r="H5" s="111"/>
      <c r="I5" s="111"/>
      <c r="J5" s="111"/>
      <c r="K5" s="111"/>
      <c r="L5" s="111"/>
      <c r="M5" s="111"/>
      <c r="N5" s="111"/>
      <c r="O5" s="112"/>
      <c r="P5" s="108"/>
      <c r="Q5" s="108"/>
      <c r="R5" s="108"/>
      <c r="S5" s="108"/>
      <c r="T5" s="108"/>
      <c r="U5" s="108"/>
      <c r="V5" s="108"/>
      <c r="W5" s="108"/>
      <c r="X5" s="108"/>
      <c r="Y5" s="108"/>
      <c r="Z5" s="108"/>
      <c r="AA5" s="108"/>
      <c r="AB5" s="108"/>
      <c r="AC5" s="108"/>
      <c r="AD5" s="108"/>
      <c r="AE5" s="108"/>
      <c r="AF5" s="108"/>
      <c r="AG5" s="108"/>
      <c r="AH5" s="108"/>
      <c r="AI5" s="108"/>
      <c r="AJ5" s="108"/>
      <c r="AK5" s="108"/>
      <c r="AL5" s="113"/>
      <c r="AM5" s="189"/>
      <c r="AN5" s="189"/>
      <c r="AO5" s="189"/>
      <c r="AP5" s="189"/>
      <c r="AQ5" s="189"/>
      <c r="AR5" s="189"/>
      <c r="AS5" s="189"/>
      <c r="AT5" s="189"/>
      <c r="AU5" s="189"/>
      <c r="AV5" s="189"/>
      <c r="AW5" s="188"/>
      <c r="AX5" s="188"/>
      <c r="AY5" s="188"/>
      <c r="AZ5" s="188"/>
      <c r="BA5" s="188"/>
      <c r="BB5" s="188"/>
      <c r="BC5" s="188"/>
      <c r="BD5" s="188"/>
      <c r="BE5" s="188"/>
      <c r="BF5" s="188"/>
      <c r="BG5" s="188"/>
      <c r="BH5" s="188"/>
      <c r="BI5" s="188"/>
      <c r="BJ5" s="188"/>
      <c r="BK5" s="188"/>
      <c r="BL5" s="188"/>
      <c r="BM5" s="188"/>
      <c r="BN5" s="188"/>
      <c r="BO5" s="188"/>
      <c r="BP5" s="188"/>
    </row>
    <row r="6" spans="2:68" ht="30" customHeight="1" x14ac:dyDescent="0.15">
      <c r="B6" s="114"/>
      <c r="C6" s="114"/>
      <c r="D6" s="114"/>
      <c r="E6" s="114"/>
      <c r="F6" s="114"/>
      <c r="G6" s="114"/>
      <c r="H6" s="114"/>
      <c r="I6" s="115"/>
      <c r="J6" s="116" t="s">
        <v>19</v>
      </c>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t="s">
        <v>22</v>
      </c>
      <c r="AK6" s="118"/>
      <c r="AL6" s="107"/>
      <c r="AM6" s="187"/>
      <c r="AN6" s="187"/>
      <c r="AO6" s="187"/>
      <c r="AP6" s="187"/>
      <c r="AQ6" s="187"/>
      <c r="AR6" s="187"/>
      <c r="AS6" s="187"/>
      <c r="AT6" s="187"/>
      <c r="AU6" s="187"/>
      <c r="AV6" s="187"/>
      <c r="AW6" s="188"/>
      <c r="AX6" s="188"/>
      <c r="AY6" s="188"/>
      <c r="AZ6" s="188"/>
      <c r="BA6" s="188"/>
      <c r="BB6" s="188"/>
      <c r="BC6" s="188"/>
      <c r="BD6" s="188"/>
      <c r="BE6" s="188"/>
      <c r="BF6" s="188"/>
      <c r="BG6" s="188"/>
      <c r="BH6" s="188"/>
      <c r="BI6" s="188"/>
      <c r="BJ6" s="188"/>
      <c r="BK6" s="188"/>
      <c r="BL6" s="188"/>
      <c r="BM6" s="188"/>
      <c r="BN6" s="188"/>
      <c r="BO6" s="188"/>
      <c r="BP6" s="188"/>
    </row>
    <row r="7" spans="2:68" ht="24.95" customHeight="1" x14ac:dyDescent="0.15">
      <c r="B7" s="119" t="s">
        <v>70</v>
      </c>
      <c r="C7" s="119" t="s">
        <v>71</v>
      </c>
      <c r="D7" s="119" t="s">
        <v>72</v>
      </c>
      <c r="E7" s="119" t="s">
        <v>73</v>
      </c>
      <c r="F7" s="119" t="s">
        <v>74</v>
      </c>
      <c r="G7" s="119" t="s">
        <v>75</v>
      </c>
      <c r="H7" s="120" t="s">
        <v>76</v>
      </c>
      <c r="I7" s="119" t="s">
        <v>77</v>
      </c>
      <c r="J7" s="121">
        <v>5</v>
      </c>
      <c r="K7" s="121">
        <v>6</v>
      </c>
      <c r="L7" s="121">
        <v>7</v>
      </c>
      <c r="M7" s="121">
        <v>8</v>
      </c>
      <c r="N7" s="121">
        <v>9</v>
      </c>
      <c r="O7" s="121">
        <v>10</v>
      </c>
      <c r="P7" s="121">
        <v>11</v>
      </c>
      <c r="Q7" s="121">
        <v>12</v>
      </c>
      <c r="R7" s="121">
        <v>13</v>
      </c>
      <c r="S7" s="121">
        <v>14</v>
      </c>
      <c r="T7" s="121">
        <v>15</v>
      </c>
      <c r="U7" s="121">
        <v>16</v>
      </c>
      <c r="V7" s="121">
        <v>17</v>
      </c>
      <c r="W7" s="121">
        <v>18</v>
      </c>
      <c r="X7" s="121">
        <v>19</v>
      </c>
      <c r="Y7" s="121">
        <v>20</v>
      </c>
      <c r="Z7" s="121">
        <v>21</v>
      </c>
      <c r="AA7" s="121">
        <v>22</v>
      </c>
      <c r="AB7" s="121">
        <v>23</v>
      </c>
      <c r="AC7" s="121">
        <v>24</v>
      </c>
      <c r="AD7" s="121">
        <v>25</v>
      </c>
      <c r="AE7" s="121">
        <v>26</v>
      </c>
      <c r="AF7" s="121">
        <v>27</v>
      </c>
      <c r="AG7" s="121">
        <v>28</v>
      </c>
      <c r="AH7" s="121">
        <v>29</v>
      </c>
      <c r="AI7" s="121">
        <v>30</v>
      </c>
      <c r="AJ7" s="121">
        <v>1</v>
      </c>
      <c r="AK7" s="121">
        <v>2</v>
      </c>
      <c r="AL7" s="107"/>
      <c r="AM7" s="187"/>
      <c r="AN7" s="187"/>
      <c r="AO7" s="187"/>
      <c r="AP7" s="187"/>
      <c r="AQ7" s="187"/>
      <c r="AR7" s="187"/>
      <c r="AS7" s="187"/>
      <c r="AT7" s="187"/>
      <c r="AU7" s="187"/>
      <c r="AV7" s="187"/>
      <c r="AW7" s="188"/>
      <c r="AX7" s="188"/>
      <c r="AY7" s="188"/>
      <c r="AZ7" s="188"/>
      <c r="BA7" s="188"/>
      <c r="BB7" s="188"/>
      <c r="BC7" s="188"/>
      <c r="BD7" s="188"/>
      <c r="BE7" s="188"/>
      <c r="BF7" s="188"/>
      <c r="BG7" s="188"/>
      <c r="BH7" s="188"/>
      <c r="BI7" s="188"/>
      <c r="BJ7" s="188"/>
      <c r="BK7" s="188"/>
      <c r="BL7" s="188"/>
      <c r="BM7" s="188"/>
      <c r="BN7" s="188"/>
      <c r="BO7" s="188"/>
      <c r="BP7" s="188"/>
    </row>
    <row r="8" spans="2:68" x14ac:dyDescent="0.15">
      <c r="B8" s="170">
        <v>59258</v>
      </c>
      <c r="C8" s="170" t="s">
        <v>248</v>
      </c>
      <c r="D8" s="170" t="s">
        <v>249</v>
      </c>
      <c r="E8" s="170" t="s">
        <v>250</v>
      </c>
      <c r="F8" s="170" t="s">
        <v>197</v>
      </c>
      <c r="G8" s="170" t="s">
        <v>197</v>
      </c>
      <c r="H8" s="170">
        <v>18</v>
      </c>
      <c r="I8" s="169"/>
      <c r="J8" s="170"/>
      <c r="K8" s="171"/>
      <c r="L8" s="171"/>
      <c r="M8" s="171"/>
      <c r="N8" s="171"/>
      <c r="O8" s="171"/>
      <c r="P8" s="171"/>
      <c r="Q8" s="171"/>
      <c r="R8" s="171"/>
      <c r="S8" s="171"/>
      <c r="T8" s="171"/>
      <c r="U8" s="171"/>
      <c r="V8" s="171"/>
      <c r="W8" s="171"/>
      <c r="X8" s="171"/>
      <c r="Y8" s="171"/>
      <c r="Z8" s="171"/>
      <c r="AA8" s="171"/>
      <c r="AB8" s="171"/>
      <c r="AC8" s="171"/>
      <c r="AD8" s="171"/>
      <c r="AE8" s="171"/>
      <c r="AF8" s="171"/>
      <c r="AG8" s="171"/>
      <c r="AH8" s="171"/>
      <c r="AI8" s="171"/>
      <c r="AJ8" s="171"/>
      <c r="AK8" s="171"/>
      <c r="AL8" s="141"/>
      <c r="AM8" s="188"/>
      <c r="AN8" s="188"/>
      <c r="AO8" s="188"/>
      <c r="AP8" s="188"/>
      <c r="AQ8" s="188"/>
      <c r="AR8" s="188"/>
      <c r="AS8" s="188"/>
      <c r="AT8" s="188"/>
      <c r="AU8" s="188"/>
      <c r="AV8" s="188"/>
      <c r="AW8" s="188"/>
      <c r="AX8" s="188"/>
      <c r="AY8" s="188"/>
      <c r="AZ8" s="188"/>
      <c r="BA8" s="188"/>
      <c r="BB8" s="188"/>
      <c r="BC8" s="188"/>
      <c r="BD8" s="188"/>
      <c r="BE8" s="188"/>
      <c r="BF8" s="188"/>
      <c r="BG8" s="188"/>
      <c r="BH8" s="188"/>
      <c r="BI8" s="188"/>
      <c r="BJ8" s="188"/>
      <c r="BK8" s="188"/>
      <c r="BL8" s="188"/>
      <c r="BM8" s="188"/>
      <c r="BN8" s="188"/>
      <c r="BO8" s="188"/>
      <c r="BP8" s="188"/>
    </row>
    <row r="9" spans="2:68" x14ac:dyDescent="0.15">
      <c r="B9" s="141">
        <v>11917</v>
      </c>
      <c r="C9" s="141" t="s">
        <v>251</v>
      </c>
      <c r="D9" s="141" t="s">
        <v>249</v>
      </c>
      <c r="E9" s="141" t="s">
        <v>250</v>
      </c>
      <c r="F9" s="141" t="s">
        <v>102</v>
      </c>
      <c r="G9" s="141" t="s">
        <v>135</v>
      </c>
      <c r="H9" s="141">
        <v>46</v>
      </c>
      <c r="I9" s="172"/>
      <c r="J9" s="141"/>
      <c r="K9" s="173"/>
      <c r="L9" s="173"/>
      <c r="M9" s="173"/>
      <c r="N9" s="173"/>
      <c r="O9" s="173"/>
      <c r="P9" s="173"/>
      <c r="Q9" s="173"/>
      <c r="R9" s="173"/>
      <c r="S9" s="173"/>
      <c r="T9" s="173"/>
      <c r="U9" s="173"/>
      <c r="V9" s="173"/>
      <c r="W9" s="173"/>
      <c r="X9" s="173"/>
      <c r="Y9" s="173"/>
      <c r="Z9" s="173"/>
      <c r="AA9" s="173"/>
      <c r="AB9" s="173"/>
      <c r="AC9" s="173"/>
      <c r="AD9" s="173"/>
      <c r="AE9" s="173"/>
      <c r="AF9" s="173"/>
      <c r="AG9" s="173"/>
      <c r="AH9" s="173"/>
      <c r="AI9" s="173"/>
      <c r="AJ9" s="173"/>
      <c r="AK9" s="173"/>
      <c r="AL9" s="141"/>
      <c r="AM9" s="188"/>
      <c r="AN9" s="188"/>
      <c r="AO9" s="188"/>
      <c r="AP9" s="188"/>
      <c r="AQ9" s="188"/>
      <c r="AR9" s="188"/>
      <c r="AS9" s="188"/>
      <c r="AT9" s="188"/>
      <c r="AU9" s="188"/>
      <c r="AV9" s="188"/>
      <c r="AW9" s="188"/>
      <c r="AX9" s="188"/>
      <c r="AY9" s="188"/>
      <c r="AZ9" s="188"/>
      <c r="BA9" s="188"/>
      <c r="BB9" s="188"/>
      <c r="BC9" s="188"/>
      <c r="BD9" s="188"/>
      <c r="BE9" s="188"/>
      <c r="BF9" s="188"/>
      <c r="BG9" s="188"/>
      <c r="BH9" s="188"/>
      <c r="BI9" s="188"/>
      <c r="BJ9" s="188"/>
      <c r="BK9" s="188"/>
      <c r="BL9" s="188"/>
      <c r="BM9" s="188"/>
      <c r="BN9" s="188"/>
      <c r="BO9" s="188"/>
      <c r="BP9" s="188"/>
    </row>
    <row r="10" spans="2:68" x14ac:dyDescent="0.15">
      <c r="B10" s="170">
        <v>68838</v>
      </c>
      <c r="C10" s="170" t="s">
        <v>252</v>
      </c>
      <c r="D10" s="170" t="s">
        <v>249</v>
      </c>
      <c r="E10" s="170" t="s">
        <v>250</v>
      </c>
      <c r="F10" s="170" t="s">
        <v>253</v>
      </c>
      <c r="G10" s="170" t="s">
        <v>253</v>
      </c>
      <c r="H10" s="170">
        <v>12</v>
      </c>
      <c r="I10" s="169"/>
      <c r="J10" s="170"/>
      <c r="K10" s="171"/>
      <c r="L10" s="171"/>
      <c r="M10" s="171"/>
      <c r="N10" s="171"/>
      <c r="O10" s="171"/>
      <c r="P10" s="171"/>
      <c r="Q10" s="171"/>
      <c r="R10" s="171"/>
      <c r="S10" s="171"/>
      <c r="T10" s="171"/>
      <c r="U10" s="171"/>
      <c r="V10" s="171"/>
      <c r="W10" s="171"/>
      <c r="X10" s="171"/>
      <c r="Y10" s="171"/>
      <c r="Z10" s="171"/>
      <c r="AA10" s="171"/>
      <c r="AB10" s="171"/>
      <c r="AC10" s="171"/>
      <c r="AD10" s="171"/>
      <c r="AE10" s="171"/>
      <c r="AF10" s="171"/>
      <c r="AG10" s="171"/>
      <c r="AH10" s="171"/>
      <c r="AI10" s="171"/>
      <c r="AJ10" s="171"/>
      <c r="AK10" s="171"/>
      <c r="AL10" s="141"/>
      <c r="AM10" s="188"/>
      <c r="AN10" s="188"/>
      <c r="AO10" s="188"/>
      <c r="AP10" s="188"/>
      <c r="AQ10" s="188"/>
      <c r="AR10" s="188"/>
      <c r="AS10" s="188"/>
      <c r="AT10" s="188"/>
      <c r="AU10" s="188"/>
      <c r="AV10" s="188"/>
      <c r="AW10" s="188"/>
      <c r="AX10" s="188"/>
      <c r="AY10" s="188"/>
      <c r="AZ10" s="188"/>
      <c r="BA10" s="188"/>
      <c r="BB10" s="188"/>
      <c r="BC10" s="188"/>
      <c r="BD10" s="188"/>
      <c r="BE10" s="188"/>
      <c r="BF10" s="188"/>
      <c r="BG10" s="188"/>
      <c r="BH10" s="188"/>
      <c r="BI10" s="188"/>
      <c r="BJ10" s="188"/>
      <c r="BK10" s="188"/>
      <c r="BL10" s="188"/>
      <c r="BM10" s="188"/>
      <c r="BN10" s="188"/>
      <c r="BO10" s="188"/>
      <c r="BP10" s="188"/>
    </row>
    <row r="11" spans="2:68" x14ac:dyDescent="0.15">
      <c r="B11" s="141">
        <v>68840</v>
      </c>
      <c r="C11" s="141" t="s">
        <v>254</v>
      </c>
      <c r="D11" s="141" t="s">
        <v>249</v>
      </c>
      <c r="E11" s="141" t="s">
        <v>250</v>
      </c>
      <c r="F11" s="141" t="s">
        <v>188</v>
      </c>
      <c r="G11" s="141" t="s">
        <v>188</v>
      </c>
      <c r="H11" s="141">
        <v>12</v>
      </c>
      <c r="I11" s="172"/>
      <c r="J11" s="141"/>
      <c r="K11" s="173"/>
      <c r="L11" s="173"/>
      <c r="M11" s="173"/>
      <c r="N11" s="173"/>
      <c r="O11" s="173"/>
      <c r="P11" s="173"/>
      <c r="Q11" s="173"/>
      <c r="R11" s="173"/>
      <c r="S11" s="173"/>
      <c r="T11" s="173"/>
      <c r="U11" s="173"/>
      <c r="V11" s="173"/>
      <c r="W11" s="173"/>
      <c r="X11" s="173"/>
      <c r="Y11" s="173"/>
      <c r="Z11" s="173"/>
      <c r="AA11" s="173"/>
      <c r="AB11" s="173"/>
      <c r="AC11" s="173"/>
      <c r="AD11" s="173"/>
      <c r="AE11" s="173"/>
      <c r="AF11" s="173"/>
      <c r="AG11" s="173"/>
      <c r="AH11" s="173"/>
      <c r="AI11" s="173"/>
      <c r="AJ11" s="173"/>
      <c r="AK11" s="173"/>
      <c r="AL11" s="141"/>
      <c r="AM11" s="188"/>
      <c r="AN11" s="188"/>
      <c r="AO11" s="188"/>
      <c r="AP11" s="188"/>
      <c r="AQ11" s="188"/>
      <c r="AR11" s="188"/>
      <c r="AS11" s="188"/>
      <c r="AT11" s="188"/>
      <c r="AU11" s="188"/>
      <c r="AV11" s="188"/>
      <c r="AW11" s="188"/>
      <c r="AX11" s="188"/>
      <c r="AY11" s="188"/>
      <c r="AZ11" s="188"/>
      <c r="BA11" s="188"/>
      <c r="BB11" s="188"/>
      <c r="BC11" s="188"/>
      <c r="BD11" s="188"/>
      <c r="BE11" s="188"/>
      <c r="BF11" s="188"/>
      <c r="BG11" s="188"/>
      <c r="BH11" s="188"/>
      <c r="BI11" s="188"/>
      <c r="BJ11" s="188"/>
      <c r="BK11" s="188"/>
      <c r="BL11" s="188"/>
      <c r="BM11" s="188"/>
      <c r="BN11" s="188"/>
      <c r="BO11" s="188"/>
      <c r="BP11" s="188"/>
    </row>
    <row r="12" spans="2:68" x14ac:dyDescent="0.15">
      <c r="B12" s="170">
        <v>2111</v>
      </c>
      <c r="C12" s="170" t="s">
        <v>255</v>
      </c>
      <c r="D12" s="170" t="s">
        <v>249</v>
      </c>
      <c r="E12" s="170" t="s">
        <v>250</v>
      </c>
      <c r="F12" s="170" t="s">
        <v>256</v>
      </c>
      <c r="G12" s="170" t="s">
        <v>204</v>
      </c>
      <c r="H12" s="170">
        <v>69</v>
      </c>
      <c r="I12" s="169"/>
      <c r="J12" s="170"/>
      <c r="K12" s="171"/>
      <c r="L12" s="171"/>
      <c r="M12" s="171"/>
      <c r="N12" s="171"/>
      <c r="O12" s="171"/>
      <c r="P12" s="171"/>
      <c r="Q12" s="171"/>
      <c r="R12" s="171"/>
      <c r="S12" s="171"/>
      <c r="T12" s="171"/>
      <c r="U12" s="171"/>
      <c r="V12" s="171"/>
      <c r="W12" s="171"/>
      <c r="X12" s="171"/>
      <c r="Y12" s="171"/>
      <c r="Z12" s="171"/>
      <c r="AA12" s="171"/>
      <c r="AB12" s="171"/>
      <c r="AC12" s="171"/>
      <c r="AD12" s="171"/>
      <c r="AE12" s="171"/>
      <c r="AF12" s="171"/>
      <c r="AG12" s="171"/>
      <c r="AH12" s="171"/>
      <c r="AI12" s="171"/>
      <c r="AJ12" s="171"/>
      <c r="AK12" s="171"/>
      <c r="AL12" s="141"/>
      <c r="AM12" s="188"/>
      <c r="AN12" s="188"/>
      <c r="AO12" s="188"/>
      <c r="AP12" s="188"/>
      <c r="AQ12" s="188"/>
      <c r="AR12" s="188"/>
      <c r="AS12" s="188"/>
      <c r="AT12" s="188"/>
      <c r="AU12" s="188"/>
      <c r="AV12" s="188"/>
      <c r="AW12" s="188"/>
      <c r="AX12" s="188"/>
      <c r="AY12" s="188"/>
      <c r="AZ12" s="188"/>
      <c r="BA12" s="188"/>
      <c r="BB12" s="188"/>
      <c r="BC12" s="188"/>
      <c r="BD12" s="188"/>
      <c r="BE12" s="188"/>
      <c r="BF12" s="188"/>
      <c r="BG12" s="188"/>
      <c r="BH12" s="188"/>
      <c r="BI12" s="188"/>
      <c r="BJ12" s="188"/>
      <c r="BK12" s="188"/>
      <c r="BL12" s="188"/>
      <c r="BM12" s="188"/>
      <c r="BN12" s="188"/>
      <c r="BO12" s="188"/>
      <c r="BP12" s="188"/>
    </row>
    <row r="13" spans="2:68" x14ac:dyDescent="0.15">
      <c r="B13" s="141">
        <v>11925</v>
      </c>
      <c r="C13" s="141" t="s">
        <v>257</v>
      </c>
      <c r="D13" s="141" t="s">
        <v>249</v>
      </c>
      <c r="E13" s="141" t="s">
        <v>250</v>
      </c>
      <c r="F13" s="141" t="s">
        <v>258</v>
      </c>
      <c r="G13" s="141" t="s">
        <v>258</v>
      </c>
      <c r="H13" s="141">
        <v>31</v>
      </c>
      <c r="I13" s="172"/>
      <c r="J13" s="141" t="s">
        <v>83</v>
      </c>
      <c r="K13" s="173" t="s">
        <v>83</v>
      </c>
      <c r="L13" s="173" t="s">
        <v>83</v>
      </c>
      <c r="M13" s="173" t="s">
        <v>83</v>
      </c>
      <c r="N13" s="173" t="s">
        <v>83</v>
      </c>
      <c r="O13" s="173" t="s">
        <v>83</v>
      </c>
      <c r="P13" s="173" t="s">
        <v>83</v>
      </c>
      <c r="Q13" s="173" t="s">
        <v>83</v>
      </c>
      <c r="R13" s="173" t="s">
        <v>83</v>
      </c>
      <c r="S13" s="173" t="s">
        <v>83</v>
      </c>
      <c r="T13" s="173" t="s">
        <v>83</v>
      </c>
      <c r="U13" s="173" t="s">
        <v>83</v>
      </c>
      <c r="V13" s="173" t="s">
        <v>83</v>
      </c>
      <c r="W13" s="173" t="s">
        <v>83</v>
      </c>
      <c r="X13" s="173" t="s">
        <v>83</v>
      </c>
      <c r="Y13" s="173" t="s">
        <v>83</v>
      </c>
      <c r="Z13" s="173" t="s">
        <v>83</v>
      </c>
      <c r="AA13" s="173" t="s">
        <v>83</v>
      </c>
      <c r="AB13" s="173" t="s">
        <v>83</v>
      </c>
      <c r="AC13" s="173" t="s">
        <v>83</v>
      </c>
      <c r="AD13" s="173" t="s">
        <v>83</v>
      </c>
      <c r="AE13" s="173" t="s">
        <v>83</v>
      </c>
      <c r="AF13" s="173" t="s">
        <v>83</v>
      </c>
      <c r="AG13" s="173" t="s">
        <v>83</v>
      </c>
      <c r="AH13" s="173" t="s">
        <v>83</v>
      </c>
      <c r="AI13" s="173" t="s">
        <v>83</v>
      </c>
      <c r="AJ13" s="173" t="s">
        <v>83</v>
      </c>
      <c r="AK13" s="173" t="s">
        <v>83</v>
      </c>
      <c r="AL13" s="141"/>
      <c r="AM13" s="188"/>
      <c r="AN13" s="188"/>
      <c r="AO13" s="188"/>
      <c r="AP13" s="188"/>
      <c r="AQ13" s="188"/>
      <c r="AR13" s="188"/>
      <c r="AS13" s="188"/>
      <c r="AT13" s="188"/>
      <c r="AU13" s="188"/>
      <c r="AV13" s="188"/>
      <c r="AW13" s="188"/>
      <c r="AX13" s="188"/>
      <c r="AY13" s="188"/>
      <c r="AZ13" s="188"/>
      <c r="BA13" s="188"/>
      <c r="BB13" s="188"/>
      <c r="BC13" s="188"/>
      <c r="BD13" s="188"/>
      <c r="BE13" s="188"/>
      <c r="BF13" s="188"/>
      <c r="BG13" s="188"/>
      <c r="BH13" s="188"/>
      <c r="BI13" s="188"/>
      <c r="BJ13" s="188"/>
      <c r="BK13" s="188"/>
      <c r="BL13" s="188"/>
      <c r="BM13" s="188"/>
      <c r="BN13" s="188"/>
      <c r="BO13" s="188"/>
      <c r="BP13" s="188"/>
    </row>
    <row r="14" spans="2:68" x14ac:dyDescent="0.15">
      <c r="B14" s="170">
        <v>15409</v>
      </c>
      <c r="C14" s="170" t="s">
        <v>259</v>
      </c>
      <c r="D14" s="170" t="s">
        <v>249</v>
      </c>
      <c r="E14" s="170" t="s">
        <v>250</v>
      </c>
      <c r="F14" s="170" t="s">
        <v>260</v>
      </c>
      <c r="G14" s="170" t="s">
        <v>260</v>
      </c>
      <c r="H14" s="170">
        <v>21</v>
      </c>
      <c r="I14" s="169"/>
      <c r="J14" s="170"/>
      <c r="K14" s="171"/>
      <c r="L14" s="171"/>
      <c r="M14" s="171"/>
      <c r="N14" s="171"/>
      <c r="O14" s="171"/>
      <c r="P14" s="171"/>
      <c r="Q14" s="171"/>
      <c r="R14" s="171"/>
      <c r="S14" s="171"/>
      <c r="T14" s="171"/>
      <c r="U14" s="171"/>
      <c r="V14" s="171"/>
      <c r="W14" s="171"/>
      <c r="X14" s="171"/>
      <c r="Y14" s="171"/>
      <c r="Z14" s="171"/>
      <c r="AA14" s="171"/>
      <c r="AB14" s="171"/>
      <c r="AC14" s="171"/>
      <c r="AD14" s="171"/>
      <c r="AE14" s="171"/>
      <c r="AF14" s="171"/>
      <c r="AG14" s="171"/>
      <c r="AH14" s="171"/>
      <c r="AI14" s="171"/>
      <c r="AJ14" s="171"/>
      <c r="AK14" s="171"/>
      <c r="AL14" s="141"/>
      <c r="AM14" s="188"/>
      <c r="AN14" s="188"/>
      <c r="AO14" s="188"/>
      <c r="AP14" s="188"/>
      <c r="AQ14" s="188"/>
      <c r="AR14" s="188"/>
      <c r="AS14" s="188"/>
      <c r="AT14" s="188"/>
      <c r="AU14" s="188"/>
      <c r="AV14" s="188"/>
      <c r="AW14" s="188"/>
      <c r="AX14" s="188"/>
      <c r="AY14" s="188"/>
      <c r="AZ14" s="188"/>
      <c r="BA14" s="188"/>
      <c r="BB14" s="188"/>
      <c r="BC14" s="188"/>
      <c r="BD14" s="188"/>
      <c r="BE14" s="188"/>
      <c r="BF14" s="188"/>
      <c r="BG14" s="188"/>
      <c r="BH14" s="188"/>
      <c r="BI14" s="188"/>
      <c r="BJ14" s="188"/>
      <c r="BK14" s="188"/>
      <c r="BL14" s="188"/>
      <c r="BM14" s="188"/>
      <c r="BN14" s="188"/>
      <c r="BO14" s="188"/>
      <c r="BP14" s="188"/>
    </row>
    <row r="15" spans="2:68" x14ac:dyDescent="0.15">
      <c r="B15" s="141">
        <v>82745</v>
      </c>
      <c r="C15" s="141" t="s">
        <v>261</v>
      </c>
      <c r="D15" s="141" t="s">
        <v>249</v>
      </c>
      <c r="E15" s="141" t="s">
        <v>250</v>
      </c>
      <c r="F15" s="141"/>
      <c r="G15" s="141"/>
      <c r="H15" s="141">
        <v>13</v>
      </c>
      <c r="I15" s="172"/>
      <c r="J15" s="141"/>
      <c r="K15" s="173"/>
      <c r="L15" s="173"/>
      <c r="M15" s="173"/>
      <c r="N15" s="173"/>
      <c r="O15" s="173"/>
      <c r="P15" s="173"/>
      <c r="Q15" s="173"/>
      <c r="R15" s="173"/>
      <c r="S15" s="173"/>
      <c r="T15" s="173"/>
      <c r="U15" s="173"/>
      <c r="V15" s="173"/>
      <c r="W15" s="173"/>
      <c r="X15" s="173"/>
      <c r="Y15" s="173"/>
      <c r="Z15" s="173"/>
      <c r="AA15" s="173"/>
      <c r="AB15" s="173"/>
      <c r="AC15" s="173"/>
      <c r="AD15" s="173"/>
      <c r="AE15" s="173"/>
      <c r="AF15" s="173"/>
      <c r="AG15" s="173"/>
      <c r="AH15" s="173"/>
      <c r="AI15" s="173"/>
      <c r="AJ15" s="173"/>
      <c r="AK15" s="173"/>
      <c r="AL15" s="141"/>
      <c r="AM15" s="188"/>
      <c r="AN15" s="188"/>
      <c r="AO15" s="188"/>
      <c r="AP15" s="188"/>
      <c r="AQ15" s="188"/>
      <c r="AR15" s="188"/>
      <c r="AS15" s="188"/>
      <c r="AT15" s="188"/>
      <c r="AU15" s="188"/>
      <c r="AV15" s="188"/>
      <c r="AW15" s="188"/>
      <c r="AX15" s="188"/>
      <c r="AY15" s="188"/>
      <c r="AZ15" s="188"/>
      <c r="BA15" s="188"/>
      <c r="BB15" s="188"/>
      <c r="BC15" s="188"/>
      <c r="BD15" s="188"/>
      <c r="BE15" s="188"/>
      <c r="BF15" s="188"/>
      <c r="BG15" s="188"/>
      <c r="BH15" s="188"/>
      <c r="BI15" s="188"/>
      <c r="BJ15" s="188"/>
      <c r="BK15" s="188"/>
      <c r="BL15" s="188"/>
      <c r="BM15" s="188"/>
      <c r="BN15" s="188"/>
      <c r="BO15" s="188"/>
      <c r="BP15" s="188"/>
    </row>
    <row r="16" spans="2:68" x14ac:dyDescent="0.15">
      <c r="B16" s="170">
        <v>7249</v>
      </c>
      <c r="C16" s="170" t="s">
        <v>262</v>
      </c>
      <c r="D16" s="170" t="s">
        <v>249</v>
      </c>
      <c r="E16" s="170" t="s">
        <v>250</v>
      </c>
      <c r="F16" s="170" t="s">
        <v>263</v>
      </c>
      <c r="G16" s="170" t="s">
        <v>264</v>
      </c>
      <c r="H16" s="170">
        <v>21</v>
      </c>
      <c r="I16" s="169"/>
      <c r="J16" s="170" t="s">
        <v>83</v>
      </c>
      <c r="K16" s="171" t="s">
        <v>83</v>
      </c>
      <c r="L16" s="171" t="s">
        <v>83</v>
      </c>
      <c r="M16" s="171" t="s">
        <v>83</v>
      </c>
      <c r="N16" s="171" t="s">
        <v>83</v>
      </c>
      <c r="O16" s="171" t="s">
        <v>83</v>
      </c>
      <c r="P16" s="171" t="s">
        <v>83</v>
      </c>
      <c r="Q16" s="171" t="s">
        <v>83</v>
      </c>
      <c r="R16" s="171" t="s">
        <v>83</v>
      </c>
      <c r="S16" s="171" t="s">
        <v>83</v>
      </c>
      <c r="T16" s="171" t="s">
        <v>83</v>
      </c>
      <c r="U16" s="171" t="s">
        <v>83</v>
      </c>
      <c r="V16" s="171" t="s">
        <v>83</v>
      </c>
      <c r="W16" s="171" t="s">
        <v>83</v>
      </c>
      <c r="X16" s="171" t="s">
        <v>83</v>
      </c>
      <c r="Y16" s="171" t="s">
        <v>83</v>
      </c>
      <c r="Z16" s="171" t="s">
        <v>83</v>
      </c>
      <c r="AA16" s="171" t="s">
        <v>83</v>
      </c>
      <c r="AB16" s="171" t="s">
        <v>83</v>
      </c>
      <c r="AC16" s="171" t="s">
        <v>83</v>
      </c>
      <c r="AD16" s="171" t="s">
        <v>83</v>
      </c>
      <c r="AE16" s="171" t="s">
        <v>83</v>
      </c>
      <c r="AF16" s="171" t="s">
        <v>83</v>
      </c>
      <c r="AG16" s="171" t="s">
        <v>83</v>
      </c>
      <c r="AH16" s="171" t="s">
        <v>83</v>
      </c>
      <c r="AI16" s="171" t="s">
        <v>83</v>
      </c>
      <c r="AJ16" s="171" t="s">
        <v>83</v>
      </c>
      <c r="AK16" s="171" t="s">
        <v>83</v>
      </c>
      <c r="AL16" s="141"/>
      <c r="AM16" s="188"/>
      <c r="AN16" s="188"/>
      <c r="AO16" s="188"/>
      <c r="AP16" s="188"/>
      <c r="AQ16" s="188"/>
      <c r="AR16" s="188"/>
      <c r="AS16" s="188"/>
      <c r="AT16" s="188"/>
      <c r="AU16" s="188"/>
      <c r="AV16" s="188"/>
      <c r="AW16" s="188"/>
      <c r="AX16" s="188"/>
      <c r="AY16" s="188"/>
      <c r="AZ16" s="188"/>
      <c r="BA16" s="188"/>
      <c r="BB16" s="188"/>
      <c r="BC16" s="188"/>
      <c r="BD16" s="188"/>
      <c r="BE16" s="188"/>
      <c r="BF16" s="188"/>
      <c r="BG16" s="188"/>
      <c r="BH16" s="188"/>
      <c r="BI16" s="188"/>
      <c r="BJ16" s="188"/>
      <c r="BK16" s="188"/>
      <c r="BL16" s="188"/>
      <c r="BM16" s="188"/>
      <c r="BN16" s="188"/>
      <c r="BO16" s="188"/>
      <c r="BP16" s="188"/>
    </row>
    <row r="17" spans="2:68" x14ac:dyDescent="0.15">
      <c r="B17" s="141">
        <v>43346</v>
      </c>
      <c r="C17" s="141" t="s">
        <v>265</v>
      </c>
      <c r="D17" s="141" t="s">
        <v>249</v>
      </c>
      <c r="E17" s="141" t="s">
        <v>250</v>
      </c>
      <c r="F17" s="141" t="s">
        <v>266</v>
      </c>
      <c r="G17" s="141" t="s">
        <v>82</v>
      </c>
      <c r="H17" s="141">
        <v>18</v>
      </c>
      <c r="I17" s="172"/>
      <c r="J17" s="141"/>
      <c r="K17" s="173"/>
      <c r="L17" s="173"/>
      <c r="M17" s="173"/>
      <c r="N17" s="173"/>
      <c r="O17" s="173"/>
      <c r="P17" s="173"/>
      <c r="Q17" s="173"/>
      <c r="R17" s="173"/>
      <c r="S17" s="173"/>
      <c r="T17" s="173"/>
      <c r="U17" s="173"/>
      <c r="V17" s="173"/>
      <c r="W17" s="173"/>
      <c r="X17" s="173"/>
      <c r="Y17" s="173"/>
      <c r="Z17" s="173"/>
      <c r="AA17" s="173"/>
      <c r="AB17" s="173"/>
      <c r="AC17" s="173"/>
      <c r="AD17" s="173"/>
      <c r="AE17" s="173"/>
      <c r="AF17" s="173"/>
      <c r="AG17" s="173"/>
      <c r="AH17" s="173"/>
      <c r="AI17" s="173"/>
      <c r="AJ17" s="173"/>
      <c r="AK17" s="173"/>
      <c r="AL17" s="141"/>
      <c r="AM17" s="188"/>
      <c r="AN17" s="188"/>
      <c r="AO17" s="188"/>
      <c r="AP17" s="188"/>
      <c r="AQ17" s="188"/>
      <c r="AR17" s="188"/>
      <c r="AS17" s="188"/>
      <c r="AT17" s="188"/>
      <c r="AU17" s="188"/>
      <c r="AV17" s="188"/>
      <c r="AW17" s="188"/>
      <c r="AX17" s="188"/>
      <c r="AY17" s="188"/>
      <c r="AZ17" s="188"/>
      <c r="BA17" s="188"/>
      <c r="BB17" s="188"/>
      <c r="BC17" s="188"/>
      <c r="BD17" s="188"/>
      <c r="BE17" s="188"/>
      <c r="BF17" s="188"/>
      <c r="BG17" s="188"/>
      <c r="BH17" s="188"/>
      <c r="BI17" s="188"/>
      <c r="BJ17" s="188"/>
      <c r="BK17" s="188"/>
      <c r="BL17" s="188"/>
      <c r="BM17" s="188"/>
      <c r="BN17" s="188"/>
      <c r="BO17" s="188"/>
      <c r="BP17" s="188"/>
    </row>
    <row r="18" spans="2:68" x14ac:dyDescent="0.15">
      <c r="B18" s="170">
        <v>19678</v>
      </c>
      <c r="C18" s="170" t="s">
        <v>267</v>
      </c>
      <c r="D18" s="170" t="s">
        <v>249</v>
      </c>
      <c r="E18" s="170" t="s">
        <v>250</v>
      </c>
      <c r="F18" s="170" t="s">
        <v>268</v>
      </c>
      <c r="G18" s="170"/>
      <c r="H18" s="170">
        <v>0</v>
      </c>
      <c r="I18" s="169"/>
      <c r="J18" s="170"/>
      <c r="K18" s="171"/>
      <c r="L18" s="171"/>
      <c r="M18" s="171"/>
      <c r="N18" s="171"/>
      <c r="O18" s="171"/>
      <c r="P18" s="171"/>
      <c r="Q18" s="171"/>
      <c r="R18" s="171"/>
      <c r="S18" s="171"/>
      <c r="T18" s="171"/>
      <c r="U18" s="171"/>
      <c r="V18" s="171"/>
      <c r="W18" s="171"/>
      <c r="X18" s="171"/>
      <c r="Y18" s="171"/>
      <c r="Z18" s="171"/>
      <c r="AA18" s="171"/>
      <c r="AB18" s="171"/>
      <c r="AC18" s="171"/>
      <c r="AD18" s="171"/>
      <c r="AE18" s="171"/>
      <c r="AF18" s="171"/>
      <c r="AG18" s="171"/>
      <c r="AH18" s="171"/>
      <c r="AI18" s="171"/>
      <c r="AJ18" s="171"/>
      <c r="AK18" s="171"/>
      <c r="AL18" s="141"/>
      <c r="AM18" s="188"/>
      <c r="AN18" s="188"/>
      <c r="AO18" s="188"/>
      <c r="AP18" s="188"/>
      <c r="AQ18" s="188"/>
      <c r="AR18" s="188"/>
      <c r="AS18" s="188"/>
      <c r="AT18" s="188"/>
      <c r="AU18" s="188"/>
      <c r="AV18" s="188"/>
      <c r="AW18" s="188"/>
      <c r="AX18" s="188"/>
      <c r="AY18" s="188"/>
      <c r="AZ18" s="188"/>
      <c r="BA18" s="188"/>
      <c r="BB18" s="188"/>
      <c r="BC18" s="188"/>
      <c r="BD18" s="188"/>
      <c r="BE18" s="188"/>
      <c r="BF18" s="188"/>
      <c r="BG18" s="188"/>
      <c r="BH18" s="188"/>
      <c r="BI18" s="188"/>
      <c r="BJ18" s="188"/>
      <c r="BK18" s="188"/>
      <c r="BL18" s="188"/>
      <c r="BM18" s="188"/>
      <c r="BN18" s="188"/>
      <c r="BO18" s="188"/>
      <c r="BP18" s="188"/>
    </row>
    <row r="19" spans="2:68" x14ac:dyDescent="0.15">
      <c r="B19" s="141">
        <v>9315</v>
      </c>
      <c r="C19" s="141" t="s">
        <v>269</v>
      </c>
      <c r="D19" s="141" t="s">
        <v>249</v>
      </c>
      <c r="E19" s="141" t="s">
        <v>250</v>
      </c>
      <c r="F19" s="141" t="s">
        <v>170</v>
      </c>
      <c r="G19" s="141" t="s">
        <v>270</v>
      </c>
      <c r="H19" s="141">
        <v>0</v>
      </c>
      <c r="I19" s="172"/>
      <c r="J19" s="141"/>
      <c r="K19" s="173"/>
      <c r="L19" s="173"/>
      <c r="M19" s="173"/>
      <c r="N19" s="173"/>
      <c r="O19" s="173"/>
      <c r="P19" s="173"/>
      <c r="Q19" s="173"/>
      <c r="R19" s="173"/>
      <c r="S19" s="173"/>
      <c r="T19" s="173"/>
      <c r="U19" s="173"/>
      <c r="V19" s="173"/>
      <c r="W19" s="173"/>
      <c r="X19" s="173"/>
      <c r="Y19" s="173"/>
      <c r="Z19" s="173"/>
      <c r="AA19" s="173"/>
      <c r="AB19" s="173"/>
      <c r="AC19" s="173"/>
      <c r="AD19" s="173"/>
      <c r="AE19" s="173"/>
      <c r="AF19" s="173"/>
      <c r="AG19" s="173"/>
      <c r="AH19" s="173"/>
      <c r="AI19" s="173"/>
      <c r="AJ19" s="173"/>
      <c r="AK19" s="173"/>
      <c r="AL19" s="141"/>
      <c r="AM19" s="188"/>
      <c r="AN19" s="188"/>
      <c r="AO19" s="188"/>
      <c r="AP19" s="188"/>
      <c r="AQ19" s="188"/>
      <c r="AR19" s="188"/>
      <c r="AS19" s="188"/>
      <c r="AT19" s="188"/>
      <c r="AU19" s="188"/>
      <c r="AV19" s="188"/>
      <c r="AW19" s="188"/>
      <c r="AX19" s="188"/>
      <c r="AY19" s="188"/>
      <c r="AZ19" s="188"/>
      <c r="BA19" s="188"/>
      <c r="BB19" s="188"/>
      <c r="BC19" s="188"/>
      <c r="BD19" s="188"/>
      <c r="BE19" s="188"/>
      <c r="BF19" s="188"/>
      <c r="BG19" s="188"/>
      <c r="BH19" s="188"/>
      <c r="BI19" s="188"/>
      <c r="BJ19" s="188"/>
      <c r="BK19" s="188"/>
      <c r="BL19" s="188"/>
      <c r="BM19" s="188"/>
      <c r="BN19" s="188"/>
      <c r="BO19" s="188"/>
      <c r="BP19" s="188"/>
    </row>
    <row r="20" spans="2:68" x14ac:dyDescent="0.15">
      <c r="B20" s="170">
        <v>59598</v>
      </c>
      <c r="C20" s="170" t="s">
        <v>271</v>
      </c>
      <c r="D20" s="170" t="s">
        <v>249</v>
      </c>
      <c r="E20" s="170" t="s">
        <v>250</v>
      </c>
      <c r="F20" s="170" t="s">
        <v>272</v>
      </c>
      <c r="G20" s="170" t="s">
        <v>273</v>
      </c>
      <c r="H20" s="170">
        <v>0</v>
      </c>
      <c r="I20" s="169"/>
      <c r="J20" s="170"/>
      <c r="K20" s="171"/>
      <c r="L20" s="171"/>
      <c r="M20" s="171"/>
      <c r="N20" s="171"/>
      <c r="O20" s="171"/>
      <c r="P20" s="171"/>
      <c r="Q20" s="171"/>
      <c r="R20" s="171"/>
      <c r="S20" s="171"/>
      <c r="T20" s="171"/>
      <c r="U20" s="171"/>
      <c r="V20" s="171"/>
      <c r="W20" s="171"/>
      <c r="X20" s="171"/>
      <c r="Y20" s="171"/>
      <c r="Z20" s="171"/>
      <c r="AA20" s="171"/>
      <c r="AB20" s="171"/>
      <c r="AC20" s="171"/>
      <c r="AD20" s="171"/>
      <c r="AE20" s="171"/>
      <c r="AF20" s="171"/>
      <c r="AG20" s="171"/>
      <c r="AH20" s="171"/>
      <c r="AI20" s="171"/>
      <c r="AJ20" s="171"/>
      <c r="AK20" s="171"/>
      <c r="AL20" s="141"/>
      <c r="AM20" s="188"/>
      <c r="AN20" s="188"/>
      <c r="AO20" s="188"/>
      <c r="AP20" s="188"/>
      <c r="AQ20" s="188"/>
      <c r="AR20" s="188"/>
      <c r="AS20" s="188"/>
      <c r="AT20" s="188"/>
      <c r="AU20" s="188"/>
      <c r="AV20" s="188"/>
      <c r="AW20" s="188"/>
      <c r="AX20" s="188"/>
      <c r="AY20" s="188"/>
      <c r="AZ20" s="188"/>
      <c r="BA20" s="188"/>
      <c r="BB20" s="188"/>
      <c r="BC20" s="188"/>
      <c r="BD20" s="188"/>
      <c r="BE20" s="188"/>
      <c r="BF20" s="188"/>
      <c r="BG20" s="188"/>
      <c r="BH20" s="188"/>
      <c r="BI20" s="188"/>
      <c r="BJ20" s="188"/>
      <c r="BK20" s="188"/>
      <c r="BL20" s="188"/>
      <c r="BM20" s="188"/>
      <c r="BN20" s="188"/>
      <c r="BO20" s="188"/>
      <c r="BP20" s="188"/>
    </row>
    <row r="21" spans="2:68" x14ac:dyDescent="0.15">
      <c r="B21" s="141">
        <v>50468</v>
      </c>
      <c r="C21" s="141" t="s">
        <v>274</v>
      </c>
      <c r="D21" s="141" t="s">
        <v>249</v>
      </c>
      <c r="E21" s="141" t="s">
        <v>250</v>
      </c>
      <c r="F21" s="141" t="s">
        <v>275</v>
      </c>
      <c r="G21" s="141"/>
      <c r="H21" s="141">
        <v>0</v>
      </c>
      <c r="I21" s="172"/>
      <c r="J21" s="141"/>
      <c r="K21" s="173"/>
      <c r="L21" s="173"/>
      <c r="M21" s="173"/>
      <c r="N21" s="173"/>
      <c r="O21" s="173"/>
      <c r="P21" s="173"/>
      <c r="Q21" s="173"/>
      <c r="R21" s="173"/>
      <c r="S21" s="173"/>
      <c r="T21" s="173"/>
      <c r="U21" s="173"/>
      <c r="V21" s="173"/>
      <c r="W21" s="173"/>
      <c r="X21" s="173"/>
      <c r="Y21" s="173"/>
      <c r="Z21" s="173"/>
      <c r="AA21" s="173"/>
      <c r="AB21" s="173"/>
      <c r="AC21" s="173"/>
      <c r="AD21" s="173"/>
      <c r="AE21" s="173"/>
      <c r="AF21" s="173"/>
      <c r="AG21" s="173"/>
      <c r="AH21" s="173"/>
      <c r="AI21" s="173"/>
      <c r="AJ21" s="173"/>
      <c r="AK21" s="173"/>
      <c r="AL21" s="141"/>
      <c r="AM21" s="188"/>
      <c r="AN21" s="188"/>
      <c r="AO21" s="188"/>
      <c r="AP21" s="188"/>
      <c r="AQ21" s="188"/>
      <c r="AR21" s="188"/>
      <c r="AS21" s="188"/>
      <c r="AT21" s="188"/>
      <c r="AU21" s="188"/>
      <c r="AV21" s="188"/>
      <c r="AW21" s="188"/>
      <c r="AX21" s="188"/>
      <c r="AY21" s="188"/>
      <c r="AZ21" s="188"/>
      <c r="BA21" s="188"/>
      <c r="BB21" s="188"/>
      <c r="BC21" s="188"/>
      <c r="BD21" s="188"/>
      <c r="BE21" s="188"/>
      <c r="BF21" s="188"/>
      <c r="BG21" s="188"/>
      <c r="BH21" s="188"/>
      <c r="BI21" s="188"/>
      <c r="BJ21" s="188"/>
      <c r="BK21" s="188"/>
      <c r="BL21" s="188"/>
      <c r="BM21" s="188"/>
      <c r="BN21" s="188"/>
      <c r="BO21" s="188"/>
      <c r="BP21" s="188"/>
    </row>
    <row r="22" spans="2:68" x14ac:dyDescent="0.15">
      <c r="B22" s="170">
        <v>17255</v>
      </c>
      <c r="C22" s="170" t="s">
        <v>276</v>
      </c>
      <c r="D22" s="170" t="s">
        <v>249</v>
      </c>
      <c r="E22" s="170" t="s">
        <v>250</v>
      </c>
      <c r="F22" s="170" t="s">
        <v>277</v>
      </c>
      <c r="G22" s="170" t="s">
        <v>204</v>
      </c>
      <c r="H22" s="170">
        <v>0</v>
      </c>
      <c r="I22" s="169"/>
      <c r="J22" s="170"/>
      <c r="K22" s="171"/>
      <c r="L22" s="171"/>
      <c r="M22" s="171"/>
      <c r="N22" s="171"/>
      <c r="O22" s="171"/>
      <c r="P22" s="171"/>
      <c r="Q22" s="171"/>
      <c r="R22" s="171"/>
      <c r="S22" s="171"/>
      <c r="T22" s="171"/>
      <c r="U22" s="171"/>
      <c r="V22" s="171"/>
      <c r="W22" s="171"/>
      <c r="X22" s="171"/>
      <c r="Y22" s="171"/>
      <c r="Z22" s="171"/>
      <c r="AA22" s="171"/>
      <c r="AB22" s="171"/>
      <c r="AC22" s="171"/>
      <c r="AD22" s="171"/>
      <c r="AE22" s="171"/>
      <c r="AF22" s="171"/>
      <c r="AG22" s="171"/>
      <c r="AH22" s="171"/>
      <c r="AI22" s="171"/>
      <c r="AJ22" s="171"/>
      <c r="AK22" s="171"/>
      <c r="AL22" s="141"/>
      <c r="AM22" s="188"/>
      <c r="AN22" s="188"/>
      <c r="AO22" s="188"/>
      <c r="AP22" s="188"/>
      <c r="AQ22" s="188"/>
      <c r="AR22" s="188"/>
      <c r="AS22" s="188"/>
      <c r="AT22" s="188"/>
      <c r="AU22" s="188"/>
      <c r="AV22" s="188"/>
      <c r="AW22" s="188"/>
      <c r="AX22" s="188"/>
      <c r="AY22" s="188"/>
      <c r="AZ22" s="188"/>
      <c r="BA22" s="188"/>
      <c r="BB22" s="188"/>
      <c r="BC22" s="188"/>
      <c r="BD22" s="188"/>
      <c r="BE22" s="188"/>
      <c r="BF22" s="188"/>
      <c r="BG22" s="188"/>
      <c r="BH22" s="188"/>
      <c r="BI22" s="188"/>
      <c r="BJ22" s="188"/>
      <c r="BK22" s="188"/>
      <c r="BL22" s="188"/>
      <c r="BM22" s="188"/>
      <c r="BN22" s="188"/>
      <c r="BO22" s="188"/>
      <c r="BP22" s="188"/>
    </row>
    <row r="23" spans="2:68" x14ac:dyDescent="0.15">
      <c r="B23" s="141">
        <v>4811</v>
      </c>
      <c r="C23" s="141" t="s">
        <v>278</v>
      </c>
      <c r="D23" s="141" t="s">
        <v>249</v>
      </c>
      <c r="E23" s="141" t="s">
        <v>250</v>
      </c>
      <c r="F23" s="141" t="s">
        <v>279</v>
      </c>
      <c r="G23" s="141" t="s">
        <v>280</v>
      </c>
      <c r="H23" s="141">
        <v>122</v>
      </c>
      <c r="I23" s="172"/>
      <c r="J23" s="141" t="s">
        <v>83</v>
      </c>
      <c r="K23" s="173" t="s">
        <v>83</v>
      </c>
      <c r="L23" s="173" t="s">
        <v>83</v>
      </c>
      <c r="M23" s="173" t="s">
        <v>83</v>
      </c>
      <c r="N23" s="173" t="s">
        <v>83</v>
      </c>
      <c r="O23" s="173" t="s">
        <v>83</v>
      </c>
      <c r="P23" s="173" t="s">
        <v>83</v>
      </c>
      <c r="Q23" s="173" t="s">
        <v>83</v>
      </c>
      <c r="R23" s="173" t="s">
        <v>83</v>
      </c>
      <c r="S23" s="173" t="s">
        <v>83</v>
      </c>
      <c r="T23" s="173" t="s">
        <v>83</v>
      </c>
      <c r="U23" s="173" t="s">
        <v>83</v>
      </c>
      <c r="V23" s="173" t="s">
        <v>83</v>
      </c>
      <c r="W23" s="173" t="s">
        <v>83</v>
      </c>
      <c r="X23" s="173" t="s">
        <v>83</v>
      </c>
      <c r="Y23" s="173" t="s">
        <v>83</v>
      </c>
      <c r="Z23" s="173" t="s">
        <v>83</v>
      </c>
      <c r="AA23" s="173" t="s">
        <v>83</v>
      </c>
      <c r="AB23" s="173" t="s">
        <v>83</v>
      </c>
      <c r="AC23" s="173" t="s">
        <v>83</v>
      </c>
      <c r="AD23" s="173" t="s">
        <v>83</v>
      </c>
      <c r="AE23" s="173" t="s">
        <v>83</v>
      </c>
      <c r="AF23" s="173" t="s">
        <v>83</v>
      </c>
      <c r="AG23" s="173" t="s">
        <v>83</v>
      </c>
      <c r="AH23" s="173" t="s">
        <v>83</v>
      </c>
      <c r="AI23" s="173" t="s">
        <v>83</v>
      </c>
      <c r="AJ23" s="173" t="s">
        <v>83</v>
      </c>
      <c r="AK23" s="173" t="s">
        <v>83</v>
      </c>
      <c r="AL23" s="141"/>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row>
    <row r="24" spans="2:68" x14ac:dyDescent="0.15">
      <c r="B24" s="170">
        <v>83331</v>
      </c>
      <c r="C24" s="170" t="s">
        <v>281</v>
      </c>
      <c r="D24" s="170" t="s">
        <v>249</v>
      </c>
      <c r="E24" s="170" t="s">
        <v>250</v>
      </c>
      <c r="F24" s="170" t="s">
        <v>282</v>
      </c>
      <c r="G24" s="170" t="s">
        <v>282</v>
      </c>
      <c r="H24" s="170">
        <v>8</v>
      </c>
      <c r="I24" s="169"/>
      <c r="J24" s="170" t="s">
        <v>115</v>
      </c>
      <c r="K24" s="171" t="s">
        <v>115</v>
      </c>
      <c r="L24" s="171" t="s">
        <v>115</v>
      </c>
      <c r="M24" s="171" t="s">
        <v>115</v>
      </c>
      <c r="N24" s="171" t="s">
        <v>115</v>
      </c>
      <c r="O24" s="171" t="s">
        <v>115</v>
      </c>
      <c r="P24" s="171" t="s">
        <v>115</v>
      </c>
      <c r="Q24" s="171" t="s">
        <v>115</v>
      </c>
      <c r="R24" s="171" t="s">
        <v>115</v>
      </c>
      <c r="S24" s="171" t="s">
        <v>115</v>
      </c>
      <c r="T24" s="171" t="s">
        <v>115</v>
      </c>
      <c r="U24" s="171" t="s">
        <v>115</v>
      </c>
      <c r="V24" s="171" t="s">
        <v>115</v>
      </c>
      <c r="W24" s="171" t="s">
        <v>115</v>
      </c>
      <c r="X24" s="171" t="s">
        <v>115</v>
      </c>
      <c r="Y24" s="171" t="s">
        <v>115</v>
      </c>
      <c r="Z24" s="171" t="s">
        <v>115</v>
      </c>
      <c r="AA24" s="171" t="s">
        <v>115</v>
      </c>
      <c r="AB24" s="171" t="s">
        <v>115</v>
      </c>
      <c r="AC24" s="171" t="s">
        <v>115</v>
      </c>
      <c r="AD24" s="171" t="s">
        <v>115</v>
      </c>
      <c r="AE24" s="171" t="s">
        <v>115</v>
      </c>
      <c r="AF24" s="171" t="s">
        <v>115</v>
      </c>
      <c r="AG24" s="171" t="s">
        <v>115</v>
      </c>
      <c r="AH24" s="171" t="s">
        <v>115</v>
      </c>
      <c r="AI24" s="171" t="s">
        <v>115</v>
      </c>
      <c r="AJ24" s="171" t="s">
        <v>115</v>
      </c>
      <c r="AK24" s="171" t="s">
        <v>115</v>
      </c>
      <c r="AL24" s="141"/>
      <c r="AM24" s="188"/>
      <c r="AN24" s="188"/>
      <c r="AO24" s="188"/>
      <c r="AP24" s="188"/>
      <c r="AQ24" s="188"/>
      <c r="AR24" s="188"/>
      <c r="AS24" s="188"/>
      <c r="AT24" s="188"/>
      <c r="AU24" s="188"/>
      <c r="AV24" s="188"/>
      <c r="AW24" s="188"/>
      <c r="AX24" s="188"/>
      <c r="AY24" s="188"/>
      <c r="AZ24" s="188"/>
      <c r="BA24" s="188"/>
      <c r="BB24" s="188"/>
      <c r="BC24" s="188"/>
      <c r="BD24" s="188"/>
      <c r="BE24" s="188"/>
      <c r="BF24" s="188"/>
      <c r="BG24" s="188"/>
      <c r="BH24" s="188"/>
      <c r="BI24" s="188"/>
      <c r="BJ24" s="188"/>
      <c r="BK24" s="188"/>
      <c r="BL24" s="188"/>
      <c r="BM24" s="188"/>
      <c r="BN24" s="188"/>
      <c r="BO24" s="188"/>
      <c r="BP24" s="188"/>
    </row>
    <row r="25" spans="2:68" x14ac:dyDescent="0.15">
      <c r="B25" s="141">
        <v>75171</v>
      </c>
      <c r="C25" s="141" t="s">
        <v>283</v>
      </c>
      <c r="D25" s="141" t="s">
        <v>249</v>
      </c>
      <c r="E25" s="141" t="s">
        <v>250</v>
      </c>
      <c r="F25" s="141" t="s">
        <v>284</v>
      </c>
      <c r="G25" s="141" t="s">
        <v>284</v>
      </c>
      <c r="H25" s="141">
        <v>45</v>
      </c>
      <c r="I25" s="172"/>
      <c r="J25" s="141" t="s">
        <v>83</v>
      </c>
      <c r="K25" s="173" t="s">
        <v>83</v>
      </c>
      <c r="L25" s="173" t="s">
        <v>83</v>
      </c>
      <c r="M25" s="173" t="s">
        <v>83</v>
      </c>
      <c r="N25" s="173" t="s">
        <v>83</v>
      </c>
      <c r="O25" s="173" t="s">
        <v>83</v>
      </c>
      <c r="P25" s="173" t="s">
        <v>83</v>
      </c>
      <c r="Q25" s="173" t="s">
        <v>83</v>
      </c>
      <c r="R25" s="173" t="s">
        <v>83</v>
      </c>
      <c r="S25" s="173" t="s">
        <v>83</v>
      </c>
      <c r="T25" s="173" t="s">
        <v>83</v>
      </c>
      <c r="U25" s="173" t="s">
        <v>83</v>
      </c>
      <c r="V25" s="173" t="s">
        <v>83</v>
      </c>
      <c r="W25" s="173" t="s">
        <v>83</v>
      </c>
      <c r="X25" s="173" t="s">
        <v>83</v>
      </c>
      <c r="Y25" s="173" t="s">
        <v>83</v>
      </c>
      <c r="Z25" s="173" t="s">
        <v>83</v>
      </c>
      <c r="AA25" s="173" t="s">
        <v>83</v>
      </c>
      <c r="AB25" s="173" t="s">
        <v>83</v>
      </c>
      <c r="AC25" s="173" t="s">
        <v>83</v>
      </c>
      <c r="AD25" s="173" t="s">
        <v>83</v>
      </c>
      <c r="AE25" s="173" t="s">
        <v>83</v>
      </c>
      <c r="AF25" s="173" t="s">
        <v>83</v>
      </c>
      <c r="AG25" s="173" t="s">
        <v>83</v>
      </c>
      <c r="AH25" s="173" t="s">
        <v>83</v>
      </c>
      <c r="AI25" s="173" t="s">
        <v>83</v>
      </c>
      <c r="AJ25" s="173" t="s">
        <v>83</v>
      </c>
      <c r="AK25" s="173" t="s">
        <v>83</v>
      </c>
      <c r="AL25" s="141"/>
      <c r="AM25" s="188"/>
      <c r="AN25" s="188"/>
      <c r="AO25" s="188"/>
      <c r="AP25" s="188"/>
      <c r="AQ25" s="188"/>
      <c r="AR25" s="188"/>
      <c r="AS25" s="188"/>
      <c r="AT25" s="188"/>
      <c r="AU25" s="188"/>
      <c r="AV25" s="188"/>
      <c r="AW25" s="188"/>
      <c r="AX25" s="188"/>
      <c r="AY25" s="188"/>
      <c r="AZ25" s="188"/>
      <c r="BA25" s="188"/>
      <c r="BB25" s="188"/>
      <c r="BC25" s="188"/>
      <c r="BD25" s="188"/>
      <c r="BE25" s="188"/>
      <c r="BF25" s="188"/>
      <c r="BG25" s="188"/>
      <c r="BH25" s="188"/>
      <c r="BI25" s="188"/>
      <c r="BJ25" s="188"/>
      <c r="BK25" s="188"/>
      <c r="BL25" s="188"/>
      <c r="BM25" s="188"/>
      <c r="BN25" s="188"/>
      <c r="BO25" s="188"/>
      <c r="BP25" s="188"/>
    </row>
    <row r="26" spans="2:68" x14ac:dyDescent="0.15">
      <c r="B26" s="170">
        <v>7250</v>
      </c>
      <c r="C26" s="170" t="s">
        <v>285</v>
      </c>
      <c r="D26" s="170" t="s">
        <v>249</v>
      </c>
      <c r="E26" s="170" t="s">
        <v>250</v>
      </c>
      <c r="F26" s="170" t="s">
        <v>286</v>
      </c>
      <c r="G26" s="170" t="s">
        <v>287</v>
      </c>
      <c r="H26" s="170">
        <v>0</v>
      </c>
      <c r="I26" s="169"/>
      <c r="J26" s="170"/>
      <c r="K26" s="171"/>
      <c r="L26" s="171"/>
      <c r="M26" s="171"/>
      <c r="N26" s="171"/>
      <c r="O26" s="171"/>
      <c r="P26" s="171"/>
      <c r="Q26" s="171"/>
      <c r="R26" s="171"/>
      <c r="S26" s="171"/>
      <c r="T26" s="171"/>
      <c r="U26" s="171"/>
      <c r="V26" s="171"/>
      <c r="W26" s="171"/>
      <c r="X26" s="171"/>
      <c r="Y26" s="171"/>
      <c r="Z26" s="171"/>
      <c r="AA26" s="171"/>
      <c r="AB26" s="171"/>
      <c r="AC26" s="171"/>
      <c r="AD26" s="171"/>
      <c r="AE26" s="171"/>
      <c r="AF26" s="171"/>
      <c r="AG26" s="171"/>
      <c r="AH26" s="171"/>
      <c r="AI26" s="171"/>
      <c r="AJ26" s="171"/>
      <c r="AK26" s="171"/>
      <c r="AL26" s="141"/>
      <c r="AM26" s="188"/>
      <c r="AN26" s="188"/>
      <c r="AO26" s="188"/>
      <c r="AP26" s="188"/>
      <c r="AQ26" s="188"/>
      <c r="AR26" s="188"/>
      <c r="AS26" s="188"/>
      <c r="AT26" s="188"/>
      <c r="AU26" s="188"/>
      <c r="AV26" s="188"/>
      <c r="AW26" s="188"/>
      <c r="AX26" s="188"/>
      <c r="AY26" s="188"/>
      <c r="AZ26" s="188"/>
      <c r="BA26" s="188"/>
      <c r="BB26" s="188"/>
      <c r="BC26" s="188"/>
      <c r="BD26" s="188"/>
      <c r="BE26" s="188"/>
      <c r="BF26" s="188"/>
      <c r="BG26" s="188"/>
      <c r="BH26" s="188"/>
      <c r="BI26" s="188"/>
      <c r="BJ26" s="188"/>
      <c r="BK26" s="188"/>
      <c r="BL26" s="188"/>
      <c r="BM26" s="188"/>
      <c r="BN26" s="188"/>
      <c r="BO26" s="188"/>
      <c r="BP26" s="188"/>
    </row>
    <row r="27" spans="2:68" x14ac:dyDescent="0.15">
      <c r="B27" s="141">
        <v>68836</v>
      </c>
      <c r="C27" s="141" t="s">
        <v>288</v>
      </c>
      <c r="D27" s="141" t="s">
        <v>249</v>
      </c>
      <c r="E27" s="141" t="s">
        <v>250</v>
      </c>
      <c r="F27" s="141" t="s">
        <v>289</v>
      </c>
      <c r="G27" s="141" t="s">
        <v>289</v>
      </c>
      <c r="H27" s="141">
        <v>17</v>
      </c>
      <c r="I27" s="172"/>
      <c r="J27" s="141"/>
      <c r="K27" s="173"/>
      <c r="L27" s="173"/>
      <c r="M27" s="173"/>
      <c r="N27" s="173"/>
      <c r="O27" s="173"/>
      <c r="P27" s="173"/>
      <c r="Q27" s="173"/>
      <c r="R27" s="173"/>
      <c r="S27" s="173"/>
      <c r="T27" s="173"/>
      <c r="U27" s="173"/>
      <c r="V27" s="173"/>
      <c r="W27" s="173"/>
      <c r="X27" s="173"/>
      <c r="Y27" s="173"/>
      <c r="Z27" s="173"/>
      <c r="AA27" s="173"/>
      <c r="AB27" s="173"/>
      <c r="AC27" s="173"/>
      <c r="AD27" s="173"/>
      <c r="AE27" s="173"/>
      <c r="AF27" s="173"/>
      <c r="AG27" s="173"/>
      <c r="AH27" s="173"/>
      <c r="AI27" s="173"/>
      <c r="AJ27" s="173"/>
      <c r="AK27" s="173"/>
      <c r="AL27" s="141"/>
      <c r="AM27" s="188"/>
      <c r="AN27" s="188"/>
      <c r="AO27" s="188"/>
      <c r="AP27" s="188"/>
      <c r="AQ27" s="188"/>
      <c r="AR27" s="188"/>
      <c r="AS27" s="188"/>
      <c r="AT27" s="188"/>
      <c r="AU27" s="188"/>
      <c r="AV27" s="188"/>
      <c r="AW27" s="188"/>
      <c r="AX27" s="188"/>
      <c r="AY27" s="188"/>
      <c r="AZ27" s="188"/>
      <c r="BA27" s="188"/>
      <c r="BB27" s="188"/>
      <c r="BC27" s="188"/>
      <c r="BD27" s="188"/>
      <c r="BE27" s="188"/>
      <c r="BF27" s="188"/>
      <c r="BG27" s="188"/>
      <c r="BH27" s="188"/>
      <c r="BI27" s="188"/>
      <c r="BJ27" s="188"/>
      <c r="BK27" s="188"/>
      <c r="BL27" s="188"/>
      <c r="BM27" s="188"/>
      <c r="BN27" s="188"/>
      <c r="BO27" s="188"/>
      <c r="BP27" s="188"/>
    </row>
    <row r="28" spans="2:68" x14ac:dyDescent="0.15">
      <c r="B28" s="170">
        <v>58929</v>
      </c>
      <c r="C28" s="170" t="s">
        <v>290</v>
      </c>
      <c r="D28" s="170" t="s">
        <v>249</v>
      </c>
      <c r="E28" s="170" t="s">
        <v>250</v>
      </c>
      <c r="F28" s="170" t="s">
        <v>264</v>
      </c>
      <c r="G28" s="170" t="s">
        <v>264</v>
      </c>
      <c r="H28" s="170">
        <v>17</v>
      </c>
      <c r="I28" s="169"/>
      <c r="J28" s="170"/>
      <c r="K28" s="171"/>
      <c r="L28" s="171"/>
      <c r="M28" s="171"/>
      <c r="N28" s="171"/>
      <c r="O28" s="171"/>
      <c r="P28" s="171"/>
      <c r="Q28" s="171"/>
      <c r="R28" s="171"/>
      <c r="S28" s="171"/>
      <c r="T28" s="171"/>
      <c r="U28" s="171"/>
      <c r="V28" s="171"/>
      <c r="W28" s="171"/>
      <c r="X28" s="171"/>
      <c r="Y28" s="171"/>
      <c r="Z28" s="171"/>
      <c r="AA28" s="171"/>
      <c r="AB28" s="171"/>
      <c r="AC28" s="171"/>
      <c r="AD28" s="171"/>
      <c r="AE28" s="171"/>
      <c r="AF28" s="171"/>
      <c r="AG28" s="171"/>
      <c r="AH28" s="171"/>
      <c r="AI28" s="171"/>
      <c r="AJ28" s="171"/>
      <c r="AK28" s="171"/>
      <c r="AL28" s="141"/>
      <c r="AM28" s="188"/>
      <c r="AN28" s="188"/>
      <c r="AO28" s="188"/>
      <c r="AP28" s="188"/>
      <c r="AQ28" s="188"/>
      <c r="AR28" s="188"/>
      <c r="AS28" s="188"/>
      <c r="AT28" s="188"/>
      <c r="AU28" s="188"/>
      <c r="AV28" s="188"/>
      <c r="AW28" s="188"/>
      <c r="AX28" s="188"/>
      <c r="AY28" s="188"/>
      <c r="AZ28" s="188"/>
      <c r="BA28" s="188"/>
      <c r="BB28" s="188"/>
      <c r="BC28" s="188"/>
      <c r="BD28" s="188"/>
      <c r="BE28" s="188"/>
      <c r="BF28" s="188"/>
      <c r="BG28" s="188"/>
      <c r="BH28" s="188"/>
      <c r="BI28" s="188"/>
      <c r="BJ28" s="188"/>
      <c r="BK28" s="188"/>
      <c r="BL28" s="188"/>
      <c r="BM28" s="188"/>
      <c r="BN28" s="188"/>
      <c r="BO28" s="188"/>
      <c r="BP28" s="188"/>
    </row>
    <row r="29" spans="2:68" x14ac:dyDescent="0.15">
      <c r="B29" s="141">
        <v>19680</v>
      </c>
      <c r="C29" s="141" t="s">
        <v>291</v>
      </c>
      <c r="D29" s="141" t="s">
        <v>249</v>
      </c>
      <c r="E29" s="141" t="s">
        <v>250</v>
      </c>
      <c r="F29" s="141" t="s">
        <v>107</v>
      </c>
      <c r="G29" s="141" t="s">
        <v>82</v>
      </c>
      <c r="H29" s="141">
        <v>149</v>
      </c>
      <c r="I29" s="172"/>
      <c r="J29" s="141"/>
      <c r="K29" s="173"/>
      <c r="L29" s="173"/>
      <c r="M29" s="173"/>
      <c r="N29" s="173"/>
      <c r="O29" s="173"/>
      <c r="P29" s="173"/>
      <c r="Q29" s="173"/>
      <c r="R29" s="173"/>
      <c r="S29" s="173"/>
      <c r="T29" s="173"/>
      <c r="U29" s="173"/>
      <c r="V29" s="173"/>
      <c r="W29" s="173"/>
      <c r="X29" s="173"/>
      <c r="Y29" s="173"/>
      <c r="Z29" s="173"/>
      <c r="AA29" s="173"/>
      <c r="AB29" s="173"/>
      <c r="AC29" s="173"/>
      <c r="AD29" s="173"/>
      <c r="AE29" s="173"/>
      <c r="AF29" s="173"/>
      <c r="AG29" s="173"/>
      <c r="AH29" s="173"/>
      <c r="AI29" s="173"/>
      <c r="AJ29" s="173"/>
      <c r="AK29" s="173"/>
      <c r="AL29" s="141"/>
      <c r="AM29" s="188"/>
      <c r="AN29" s="188"/>
      <c r="AO29" s="188"/>
      <c r="AP29" s="188"/>
      <c r="AQ29" s="188"/>
      <c r="AR29" s="188"/>
      <c r="AS29" s="188"/>
      <c r="AT29" s="188"/>
      <c r="AU29" s="188"/>
      <c r="AV29" s="188"/>
      <c r="AW29" s="188"/>
      <c r="AX29" s="188"/>
      <c r="AY29" s="188"/>
      <c r="AZ29" s="188"/>
      <c r="BA29" s="188"/>
      <c r="BB29" s="188"/>
      <c r="BC29" s="188"/>
      <c r="BD29" s="188"/>
      <c r="BE29" s="188"/>
      <c r="BF29" s="188"/>
      <c r="BG29" s="188"/>
      <c r="BH29" s="188"/>
      <c r="BI29" s="188"/>
      <c r="BJ29" s="188"/>
      <c r="BK29" s="188"/>
      <c r="BL29" s="188"/>
      <c r="BM29" s="188"/>
      <c r="BN29" s="188"/>
      <c r="BO29" s="188"/>
      <c r="BP29" s="188"/>
    </row>
    <row r="30" spans="2:68" x14ac:dyDescent="0.15">
      <c r="B30" s="170">
        <v>68913</v>
      </c>
      <c r="C30" s="170" t="s">
        <v>292</v>
      </c>
      <c r="D30" s="170" t="s">
        <v>249</v>
      </c>
      <c r="E30" s="170" t="s">
        <v>250</v>
      </c>
      <c r="F30" s="170" t="s">
        <v>293</v>
      </c>
      <c r="G30" s="170" t="s">
        <v>293</v>
      </c>
      <c r="H30" s="170">
        <v>9</v>
      </c>
      <c r="I30" s="169"/>
      <c r="J30" s="170" t="s">
        <v>83</v>
      </c>
      <c r="K30" s="171" t="s">
        <v>83</v>
      </c>
      <c r="L30" s="171" t="s">
        <v>83</v>
      </c>
      <c r="M30" s="171" t="s">
        <v>83</v>
      </c>
      <c r="N30" s="171" t="s">
        <v>83</v>
      </c>
      <c r="O30" s="171" t="s">
        <v>83</v>
      </c>
      <c r="P30" s="171" t="s">
        <v>83</v>
      </c>
      <c r="Q30" s="171" t="s">
        <v>83</v>
      </c>
      <c r="R30" s="171" t="s">
        <v>83</v>
      </c>
      <c r="S30" s="171" t="s">
        <v>83</v>
      </c>
      <c r="T30" s="171" t="s">
        <v>83</v>
      </c>
      <c r="U30" s="171" t="s">
        <v>83</v>
      </c>
      <c r="V30" s="171" t="s">
        <v>83</v>
      </c>
      <c r="W30" s="171" t="s">
        <v>83</v>
      </c>
      <c r="X30" s="171" t="s">
        <v>83</v>
      </c>
      <c r="Y30" s="171" t="s">
        <v>83</v>
      </c>
      <c r="Z30" s="171" t="s">
        <v>83</v>
      </c>
      <c r="AA30" s="171" t="s">
        <v>83</v>
      </c>
      <c r="AB30" s="171" t="s">
        <v>83</v>
      </c>
      <c r="AC30" s="171" t="s">
        <v>83</v>
      </c>
      <c r="AD30" s="171" t="s">
        <v>83</v>
      </c>
      <c r="AE30" s="171" t="s">
        <v>83</v>
      </c>
      <c r="AF30" s="171" t="s">
        <v>83</v>
      </c>
      <c r="AG30" s="171" t="s">
        <v>83</v>
      </c>
      <c r="AH30" s="171" t="s">
        <v>83</v>
      </c>
      <c r="AI30" s="171" t="s">
        <v>83</v>
      </c>
      <c r="AJ30" s="171" t="s">
        <v>83</v>
      </c>
      <c r="AK30" s="171" t="s">
        <v>83</v>
      </c>
      <c r="AL30" s="141"/>
      <c r="AM30" s="188"/>
      <c r="AN30" s="188"/>
      <c r="AO30" s="188"/>
      <c r="AP30" s="188"/>
      <c r="AQ30" s="188"/>
      <c r="AR30" s="188"/>
      <c r="AS30" s="188"/>
      <c r="AT30" s="188"/>
      <c r="AU30" s="188"/>
      <c r="AV30" s="188"/>
      <c r="AW30" s="188"/>
      <c r="AX30" s="188"/>
      <c r="AY30" s="188"/>
      <c r="AZ30" s="188"/>
      <c r="BA30" s="188"/>
      <c r="BB30" s="188"/>
      <c r="BC30" s="188"/>
      <c r="BD30" s="188"/>
      <c r="BE30" s="188"/>
      <c r="BF30" s="188"/>
      <c r="BG30" s="188"/>
      <c r="BH30" s="188"/>
      <c r="BI30" s="188"/>
      <c r="BJ30" s="188"/>
      <c r="BK30" s="188"/>
      <c r="BL30" s="188"/>
      <c r="BM30" s="188"/>
      <c r="BN30" s="188"/>
      <c r="BO30" s="188"/>
      <c r="BP30" s="188"/>
    </row>
    <row r="31" spans="2:68" x14ac:dyDescent="0.15">
      <c r="B31" s="141">
        <v>66526</v>
      </c>
      <c r="C31" s="141" t="s">
        <v>294</v>
      </c>
      <c r="D31" s="141" t="s">
        <v>249</v>
      </c>
      <c r="E31" s="141" t="s">
        <v>250</v>
      </c>
      <c r="F31" s="141" t="s">
        <v>107</v>
      </c>
      <c r="G31" s="141" t="s">
        <v>295</v>
      </c>
      <c r="H31" s="141">
        <v>121</v>
      </c>
      <c r="I31" s="172"/>
      <c r="J31" s="141" t="s">
        <v>83</v>
      </c>
      <c r="K31" s="173" t="s">
        <v>83</v>
      </c>
      <c r="L31" s="173" t="s">
        <v>83</v>
      </c>
      <c r="M31" s="173" t="s">
        <v>83</v>
      </c>
      <c r="N31" s="173" t="s">
        <v>83</v>
      </c>
      <c r="O31" s="173" t="s">
        <v>83</v>
      </c>
      <c r="P31" s="173" t="s">
        <v>83</v>
      </c>
      <c r="Q31" s="173" t="s">
        <v>83</v>
      </c>
      <c r="R31" s="173" t="s">
        <v>83</v>
      </c>
      <c r="S31" s="173" t="s">
        <v>83</v>
      </c>
      <c r="T31" s="173" t="s">
        <v>83</v>
      </c>
      <c r="U31" s="173" t="s">
        <v>83</v>
      </c>
      <c r="V31" s="173" t="s">
        <v>83</v>
      </c>
      <c r="W31" s="173" t="s">
        <v>83</v>
      </c>
      <c r="X31" s="173" t="s">
        <v>83</v>
      </c>
      <c r="Y31" s="173" t="s">
        <v>83</v>
      </c>
      <c r="Z31" s="173" t="s">
        <v>83</v>
      </c>
      <c r="AA31" s="173" t="s">
        <v>83</v>
      </c>
      <c r="AB31" s="173" t="s">
        <v>83</v>
      </c>
      <c r="AC31" s="173" t="s">
        <v>83</v>
      </c>
      <c r="AD31" s="173" t="s">
        <v>83</v>
      </c>
      <c r="AE31" s="173" t="s">
        <v>83</v>
      </c>
      <c r="AF31" s="173" t="s">
        <v>83</v>
      </c>
      <c r="AG31" s="173" t="s">
        <v>83</v>
      </c>
      <c r="AH31" s="173" t="s">
        <v>83</v>
      </c>
      <c r="AI31" s="173" t="s">
        <v>83</v>
      </c>
      <c r="AJ31" s="173" t="s">
        <v>83</v>
      </c>
      <c r="AK31" s="173" t="s">
        <v>83</v>
      </c>
      <c r="AL31" s="141"/>
      <c r="AM31" s="188"/>
      <c r="AN31" s="188"/>
      <c r="AO31" s="188"/>
      <c r="AP31" s="188"/>
      <c r="AQ31" s="188"/>
      <c r="AR31" s="188"/>
      <c r="AS31" s="188"/>
      <c r="AT31" s="188"/>
      <c r="AU31" s="188"/>
      <c r="AV31" s="188"/>
      <c r="AW31" s="188"/>
      <c r="AX31" s="188"/>
      <c r="AY31" s="188"/>
      <c r="AZ31" s="188"/>
      <c r="BA31" s="188"/>
      <c r="BB31" s="188"/>
      <c r="BC31" s="188"/>
      <c r="BD31" s="188"/>
      <c r="BE31" s="188"/>
      <c r="BF31" s="188"/>
      <c r="BG31" s="188"/>
      <c r="BH31" s="188"/>
      <c r="BI31" s="188"/>
      <c r="BJ31" s="188"/>
      <c r="BK31" s="188"/>
      <c r="BL31" s="188"/>
      <c r="BM31" s="188"/>
      <c r="BN31" s="188"/>
      <c r="BO31" s="188"/>
      <c r="BP31" s="188"/>
    </row>
    <row r="32" spans="2:68" x14ac:dyDescent="0.15">
      <c r="B32" s="170">
        <v>35490</v>
      </c>
      <c r="C32" s="170" t="s">
        <v>296</v>
      </c>
      <c r="D32" s="170" t="s">
        <v>249</v>
      </c>
      <c r="E32" s="170" t="s">
        <v>250</v>
      </c>
      <c r="F32" s="170" t="s">
        <v>229</v>
      </c>
      <c r="G32" s="170" t="s">
        <v>229</v>
      </c>
      <c r="H32" s="170">
        <v>75</v>
      </c>
      <c r="I32" s="169"/>
      <c r="J32" s="170" t="s">
        <v>83</v>
      </c>
      <c r="K32" s="171" t="s">
        <v>83</v>
      </c>
      <c r="L32" s="171" t="s">
        <v>83</v>
      </c>
      <c r="M32" s="171" t="s">
        <v>83</v>
      </c>
      <c r="N32" s="171" t="s">
        <v>83</v>
      </c>
      <c r="O32" s="171" t="s">
        <v>83</v>
      </c>
      <c r="P32" s="171" t="s">
        <v>83</v>
      </c>
      <c r="Q32" s="171" t="s">
        <v>83</v>
      </c>
      <c r="R32" s="171" t="s">
        <v>83</v>
      </c>
      <c r="S32" s="171" t="s">
        <v>83</v>
      </c>
      <c r="T32" s="171" t="s">
        <v>83</v>
      </c>
      <c r="U32" s="171" t="s">
        <v>83</v>
      </c>
      <c r="V32" s="171" t="s">
        <v>83</v>
      </c>
      <c r="W32" s="171" t="s">
        <v>83</v>
      </c>
      <c r="X32" s="171" t="s">
        <v>83</v>
      </c>
      <c r="Y32" s="171" t="s">
        <v>83</v>
      </c>
      <c r="Z32" s="171" t="s">
        <v>83</v>
      </c>
      <c r="AA32" s="171" t="s">
        <v>83</v>
      </c>
      <c r="AB32" s="171" t="s">
        <v>83</v>
      </c>
      <c r="AC32" s="171" t="s">
        <v>83</v>
      </c>
      <c r="AD32" s="171" t="s">
        <v>83</v>
      </c>
      <c r="AE32" s="171" t="s">
        <v>83</v>
      </c>
      <c r="AF32" s="171" t="s">
        <v>83</v>
      </c>
      <c r="AG32" s="171" t="s">
        <v>83</v>
      </c>
      <c r="AH32" s="171" t="s">
        <v>83</v>
      </c>
      <c r="AI32" s="171" t="s">
        <v>83</v>
      </c>
      <c r="AJ32" s="171" t="s">
        <v>83</v>
      </c>
      <c r="AK32" s="171" t="s">
        <v>83</v>
      </c>
      <c r="AL32" s="141"/>
      <c r="AM32" s="188"/>
      <c r="AN32" s="188"/>
      <c r="AO32" s="188"/>
      <c r="AP32" s="188"/>
      <c r="AQ32" s="188"/>
      <c r="AR32" s="188"/>
      <c r="AS32" s="188"/>
      <c r="AT32" s="188"/>
      <c r="AU32" s="188"/>
      <c r="AV32" s="188"/>
      <c r="AW32" s="188"/>
      <c r="AX32" s="188"/>
      <c r="AY32" s="188"/>
      <c r="AZ32" s="188"/>
      <c r="BA32" s="188"/>
      <c r="BB32" s="188"/>
      <c r="BC32" s="188"/>
      <c r="BD32" s="188"/>
      <c r="BE32" s="188"/>
      <c r="BF32" s="188"/>
      <c r="BG32" s="188"/>
      <c r="BH32" s="188"/>
      <c r="BI32" s="188"/>
      <c r="BJ32" s="188"/>
      <c r="BK32" s="188"/>
      <c r="BL32" s="188"/>
      <c r="BM32" s="188"/>
      <c r="BN32" s="188"/>
      <c r="BO32" s="188"/>
      <c r="BP32" s="188"/>
    </row>
    <row r="33" spans="2:68" x14ac:dyDescent="0.15">
      <c r="B33" s="141">
        <v>37612</v>
      </c>
      <c r="C33" s="141" t="s">
        <v>297</v>
      </c>
      <c r="D33" s="141" t="s">
        <v>249</v>
      </c>
      <c r="E33" s="141" t="s">
        <v>250</v>
      </c>
      <c r="F33" s="141" t="s">
        <v>298</v>
      </c>
      <c r="G33" s="141" t="s">
        <v>299</v>
      </c>
      <c r="H33" s="141">
        <v>61</v>
      </c>
      <c r="I33" s="172"/>
      <c r="J33" s="141" t="s">
        <v>83</v>
      </c>
      <c r="K33" s="173" t="s">
        <v>83</v>
      </c>
      <c r="L33" s="173" t="s">
        <v>83</v>
      </c>
      <c r="M33" s="173" t="s">
        <v>83</v>
      </c>
      <c r="N33" s="173" t="s">
        <v>83</v>
      </c>
      <c r="O33" s="173" t="s">
        <v>83</v>
      </c>
      <c r="P33" s="173" t="s">
        <v>83</v>
      </c>
      <c r="Q33" s="173" t="s">
        <v>83</v>
      </c>
      <c r="R33" s="173" t="s">
        <v>83</v>
      </c>
      <c r="S33" s="173" t="s">
        <v>83</v>
      </c>
      <c r="T33" s="173" t="s">
        <v>83</v>
      </c>
      <c r="U33" s="173" t="s">
        <v>83</v>
      </c>
      <c r="V33" s="173" t="s">
        <v>83</v>
      </c>
      <c r="W33" s="173" t="s">
        <v>83</v>
      </c>
      <c r="X33" s="173" t="s">
        <v>83</v>
      </c>
      <c r="Y33" s="173" t="s">
        <v>83</v>
      </c>
      <c r="Z33" s="173" t="s">
        <v>83</v>
      </c>
      <c r="AA33" s="173" t="s">
        <v>83</v>
      </c>
      <c r="AB33" s="173" t="s">
        <v>83</v>
      </c>
      <c r="AC33" s="173" t="s">
        <v>83</v>
      </c>
      <c r="AD33" s="173" t="s">
        <v>83</v>
      </c>
      <c r="AE33" s="173" t="s">
        <v>83</v>
      </c>
      <c r="AF33" s="173" t="s">
        <v>83</v>
      </c>
      <c r="AG33" s="173" t="s">
        <v>83</v>
      </c>
      <c r="AH33" s="173" t="s">
        <v>83</v>
      </c>
      <c r="AI33" s="173" t="s">
        <v>83</v>
      </c>
      <c r="AJ33" s="173" t="s">
        <v>83</v>
      </c>
      <c r="AK33" s="173" t="s">
        <v>83</v>
      </c>
      <c r="AL33" s="141"/>
      <c r="AM33" s="188"/>
      <c r="AN33" s="188"/>
      <c r="AO33" s="188"/>
      <c r="AP33" s="188"/>
      <c r="AQ33" s="188"/>
      <c r="AR33" s="188"/>
      <c r="AS33" s="188"/>
      <c r="AT33" s="188"/>
      <c r="AU33" s="188"/>
      <c r="AV33" s="188"/>
      <c r="AW33" s="188"/>
      <c r="AX33" s="188"/>
      <c r="AY33" s="188"/>
      <c r="AZ33" s="188"/>
      <c r="BA33" s="188"/>
      <c r="BB33" s="188"/>
      <c r="BC33" s="188"/>
      <c r="BD33" s="188"/>
      <c r="BE33" s="188"/>
      <c r="BF33" s="188"/>
      <c r="BG33" s="188"/>
      <c r="BH33" s="188"/>
      <c r="BI33" s="188"/>
      <c r="BJ33" s="188"/>
      <c r="BK33" s="188"/>
      <c r="BL33" s="188"/>
      <c r="BM33" s="188"/>
      <c r="BN33" s="188"/>
      <c r="BO33" s="188"/>
      <c r="BP33" s="188"/>
    </row>
    <row r="34" spans="2:68" x14ac:dyDescent="0.15">
      <c r="B34" s="170">
        <v>11922</v>
      </c>
      <c r="C34" s="170" t="s">
        <v>300</v>
      </c>
      <c r="D34" s="170" t="s">
        <v>249</v>
      </c>
      <c r="E34" s="170" t="s">
        <v>250</v>
      </c>
      <c r="F34" s="170" t="s">
        <v>182</v>
      </c>
      <c r="G34" s="170" t="s">
        <v>182</v>
      </c>
      <c r="H34" s="170">
        <v>42</v>
      </c>
      <c r="I34" s="169"/>
      <c r="J34" s="170" t="s">
        <v>83</v>
      </c>
      <c r="K34" s="171" t="s">
        <v>83</v>
      </c>
      <c r="L34" s="171" t="s">
        <v>83</v>
      </c>
      <c r="M34" s="171" t="s">
        <v>83</v>
      </c>
      <c r="N34" s="171" t="s">
        <v>83</v>
      </c>
      <c r="O34" s="171" t="s">
        <v>83</v>
      </c>
      <c r="P34" s="171" t="s">
        <v>83</v>
      </c>
      <c r="Q34" s="171" t="s">
        <v>83</v>
      </c>
      <c r="R34" s="171" t="s">
        <v>83</v>
      </c>
      <c r="S34" s="171" t="s">
        <v>83</v>
      </c>
      <c r="T34" s="171" t="s">
        <v>83</v>
      </c>
      <c r="U34" s="171" t="s">
        <v>83</v>
      </c>
      <c r="V34" s="171" t="s">
        <v>83</v>
      </c>
      <c r="W34" s="171" t="s">
        <v>83</v>
      </c>
      <c r="X34" s="171" t="s">
        <v>83</v>
      </c>
      <c r="Y34" s="171" t="s">
        <v>83</v>
      </c>
      <c r="Z34" s="171" t="s">
        <v>83</v>
      </c>
      <c r="AA34" s="171" t="s">
        <v>83</v>
      </c>
      <c r="AB34" s="171" t="s">
        <v>83</v>
      </c>
      <c r="AC34" s="171" t="s">
        <v>83</v>
      </c>
      <c r="AD34" s="171" t="s">
        <v>83</v>
      </c>
      <c r="AE34" s="171" t="s">
        <v>83</v>
      </c>
      <c r="AF34" s="171" t="s">
        <v>83</v>
      </c>
      <c r="AG34" s="171" t="s">
        <v>83</v>
      </c>
      <c r="AH34" s="171" t="s">
        <v>83</v>
      </c>
      <c r="AI34" s="171" t="s">
        <v>83</v>
      </c>
      <c r="AJ34" s="171" t="s">
        <v>83</v>
      </c>
      <c r="AK34" s="171" t="s">
        <v>83</v>
      </c>
      <c r="AL34" s="141"/>
      <c r="AM34" s="188"/>
      <c r="AN34" s="188"/>
      <c r="AO34" s="188"/>
      <c r="AP34" s="188"/>
      <c r="AQ34" s="188"/>
      <c r="AR34" s="188"/>
      <c r="AS34" s="188"/>
      <c r="AT34" s="188"/>
      <c r="AU34" s="188"/>
      <c r="AV34" s="188"/>
      <c r="AW34" s="188"/>
      <c r="AX34" s="188"/>
      <c r="AY34" s="188"/>
      <c r="AZ34" s="188"/>
      <c r="BA34" s="188"/>
      <c r="BB34" s="188"/>
      <c r="BC34" s="188"/>
      <c r="BD34" s="188"/>
      <c r="BE34" s="188"/>
      <c r="BF34" s="188"/>
      <c r="BG34" s="188"/>
      <c r="BH34" s="188"/>
      <c r="BI34" s="188"/>
      <c r="BJ34" s="188"/>
      <c r="BK34" s="188"/>
      <c r="BL34" s="188"/>
      <c r="BM34" s="188"/>
      <c r="BN34" s="188"/>
      <c r="BO34" s="188"/>
      <c r="BP34" s="188"/>
    </row>
    <row r="35" spans="2:68" x14ac:dyDescent="0.15">
      <c r="B35" s="141">
        <v>74297</v>
      </c>
      <c r="C35" s="141" t="s">
        <v>301</v>
      </c>
      <c r="D35" s="141" t="s">
        <v>249</v>
      </c>
      <c r="E35" s="141" t="s">
        <v>250</v>
      </c>
      <c r="F35" s="141" t="s">
        <v>302</v>
      </c>
      <c r="G35" s="141" t="s">
        <v>303</v>
      </c>
      <c r="H35" s="141">
        <v>9</v>
      </c>
      <c r="I35" s="172"/>
      <c r="J35" s="141"/>
      <c r="K35" s="173"/>
      <c r="L35" s="173"/>
      <c r="M35" s="173"/>
      <c r="N35" s="173"/>
      <c r="O35" s="173"/>
      <c r="P35" s="173"/>
      <c r="Q35" s="173"/>
      <c r="R35" s="173"/>
      <c r="S35" s="173"/>
      <c r="T35" s="173"/>
      <c r="U35" s="173"/>
      <c r="V35" s="173"/>
      <c r="W35" s="173"/>
      <c r="X35" s="173"/>
      <c r="Y35" s="173"/>
      <c r="Z35" s="173"/>
      <c r="AA35" s="173"/>
      <c r="AB35" s="173"/>
      <c r="AC35" s="173"/>
      <c r="AD35" s="173"/>
      <c r="AE35" s="173"/>
      <c r="AF35" s="173"/>
      <c r="AG35" s="173"/>
      <c r="AH35" s="173"/>
      <c r="AI35" s="173"/>
      <c r="AJ35" s="173"/>
      <c r="AK35" s="173"/>
      <c r="AL35" s="141"/>
      <c r="AM35" s="188"/>
      <c r="AN35" s="188"/>
      <c r="AO35" s="188"/>
      <c r="AP35" s="188"/>
      <c r="AQ35" s="188"/>
      <c r="AR35" s="188"/>
      <c r="AS35" s="188"/>
      <c r="AT35" s="188"/>
      <c r="AU35" s="188"/>
      <c r="AV35" s="188"/>
      <c r="AW35" s="188"/>
      <c r="AX35" s="188"/>
      <c r="AY35" s="188"/>
      <c r="AZ35" s="188"/>
      <c r="BA35" s="188"/>
      <c r="BB35" s="188"/>
      <c r="BC35" s="188"/>
      <c r="BD35" s="188"/>
      <c r="BE35" s="188"/>
      <c r="BF35" s="188"/>
      <c r="BG35" s="188"/>
      <c r="BH35" s="188"/>
      <c r="BI35" s="188"/>
      <c r="BJ35" s="188"/>
      <c r="BK35" s="188"/>
      <c r="BL35" s="188"/>
      <c r="BM35" s="188"/>
      <c r="BN35" s="188"/>
      <c r="BO35" s="188"/>
      <c r="BP35" s="188"/>
    </row>
    <row r="36" spans="2:68" x14ac:dyDescent="0.15">
      <c r="B36" s="170">
        <v>52232</v>
      </c>
      <c r="C36" s="170" t="s">
        <v>304</v>
      </c>
      <c r="D36" s="170" t="s">
        <v>249</v>
      </c>
      <c r="E36" s="170" t="s">
        <v>250</v>
      </c>
      <c r="F36" s="170" t="s">
        <v>305</v>
      </c>
      <c r="G36" s="170" t="s">
        <v>306</v>
      </c>
      <c r="H36" s="170">
        <v>97</v>
      </c>
      <c r="I36" s="169"/>
      <c r="J36" s="170" t="s">
        <v>83</v>
      </c>
      <c r="K36" s="171" t="s">
        <v>83</v>
      </c>
      <c r="L36" s="171" t="s">
        <v>83</v>
      </c>
      <c r="M36" s="171" t="s">
        <v>83</v>
      </c>
      <c r="N36" s="171" t="s">
        <v>83</v>
      </c>
      <c r="O36" s="171" t="s">
        <v>83</v>
      </c>
      <c r="P36" s="171" t="s">
        <v>83</v>
      </c>
      <c r="Q36" s="171" t="s">
        <v>83</v>
      </c>
      <c r="R36" s="171" t="s">
        <v>83</v>
      </c>
      <c r="S36" s="171" t="s">
        <v>83</v>
      </c>
      <c r="T36" s="171" t="s">
        <v>83</v>
      </c>
      <c r="U36" s="171" t="s">
        <v>83</v>
      </c>
      <c r="V36" s="171" t="s">
        <v>83</v>
      </c>
      <c r="W36" s="171" t="s">
        <v>83</v>
      </c>
      <c r="X36" s="171" t="s">
        <v>83</v>
      </c>
      <c r="Y36" s="171" t="s">
        <v>83</v>
      </c>
      <c r="Z36" s="171" t="s">
        <v>83</v>
      </c>
      <c r="AA36" s="171" t="s">
        <v>83</v>
      </c>
      <c r="AB36" s="171" t="s">
        <v>83</v>
      </c>
      <c r="AC36" s="171" t="s">
        <v>83</v>
      </c>
      <c r="AD36" s="171" t="s">
        <v>83</v>
      </c>
      <c r="AE36" s="171" t="s">
        <v>83</v>
      </c>
      <c r="AF36" s="171" t="s">
        <v>83</v>
      </c>
      <c r="AG36" s="171" t="s">
        <v>83</v>
      </c>
      <c r="AH36" s="171" t="s">
        <v>83</v>
      </c>
      <c r="AI36" s="171" t="s">
        <v>83</v>
      </c>
      <c r="AJ36" s="171" t="s">
        <v>83</v>
      </c>
      <c r="AK36" s="171" t="s">
        <v>83</v>
      </c>
      <c r="AL36" s="141"/>
      <c r="AM36" s="188"/>
      <c r="AN36" s="188"/>
      <c r="AO36" s="188"/>
      <c r="AP36" s="188"/>
      <c r="AQ36" s="188"/>
      <c r="AR36" s="188"/>
      <c r="AS36" s="188"/>
      <c r="AT36" s="188"/>
      <c r="AU36" s="188"/>
      <c r="AV36" s="188"/>
      <c r="AW36" s="188"/>
      <c r="AX36" s="188"/>
      <c r="AY36" s="188"/>
      <c r="AZ36" s="188"/>
      <c r="BA36" s="188"/>
      <c r="BB36" s="188"/>
      <c r="BC36" s="188"/>
      <c r="BD36" s="188"/>
      <c r="BE36" s="188"/>
      <c r="BF36" s="188"/>
      <c r="BG36" s="188"/>
      <c r="BH36" s="188"/>
      <c r="BI36" s="188"/>
      <c r="BJ36" s="188"/>
      <c r="BK36" s="188"/>
      <c r="BL36" s="188"/>
      <c r="BM36" s="188"/>
      <c r="BN36" s="188"/>
      <c r="BO36" s="188"/>
      <c r="BP36" s="188"/>
    </row>
    <row r="37" spans="2:68" x14ac:dyDescent="0.15">
      <c r="B37" s="141">
        <v>70367</v>
      </c>
      <c r="C37" s="141" t="s">
        <v>307</v>
      </c>
      <c r="D37" s="141" t="s">
        <v>249</v>
      </c>
      <c r="E37" s="141" t="s">
        <v>250</v>
      </c>
      <c r="F37" s="141" t="s">
        <v>308</v>
      </c>
      <c r="G37" s="141" t="s">
        <v>308</v>
      </c>
      <c r="H37" s="141">
        <v>38</v>
      </c>
      <c r="I37" s="172"/>
      <c r="J37" s="141"/>
      <c r="K37" s="173"/>
      <c r="L37" s="173"/>
      <c r="M37" s="173"/>
      <c r="N37" s="173"/>
      <c r="O37" s="173"/>
      <c r="P37" s="173"/>
      <c r="Q37" s="173"/>
      <c r="R37" s="173"/>
      <c r="S37" s="173"/>
      <c r="T37" s="173"/>
      <c r="U37" s="173"/>
      <c r="V37" s="173"/>
      <c r="W37" s="173"/>
      <c r="X37" s="173"/>
      <c r="Y37" s="173"/>
      <c r="Z37" s="173"/>
      <c r="AA37" s="173"/>
      <c r="AB37" s="173"/>
      <c r="AC37" s="173"/>
      <c r="AD37" s="173"/>
      <c r="AE37" s="173"/>
      <c r="AF37" s="173"/>
      <c r="AG37" s="173"/>
      <c r="AH37" s="173"/>
      <c r="AI37" s="173"/>
      <c r="AJ37" s="173"/>
      <c r="AK37" s="173"/>
      <c r="AL37" s="141"/>
      <c r="AM37" s="188"/>
      <c r="AN37" s="188"/>
      <c r="AO37" s="188"/>
      <c r="AP37" s="188"/>
      <c r="AQ37" s="188"/>
      <c r="AR37" s="188"/>
      <c r="AS37" s="188"/>
      <c r="AT37" s="188"/>
      <c r="AU37" s="188"/>
      <c r="AV37" s="188"/>
      <c r="AW37" s="188"/>
      <c r="AX37" s="188"/>
      <c r="AY37" s="188"/>
      <c r="AZ37" s="188"/>
      <c r="BA37" s="188"/>
      <c r="BB37" s="188"/>
      <c r="BC37" s="188"/>
      <c r="BD37" s="188"/>
      <c r="BE37" s="188"/>
      <c r="BF37" s="188"/>
      <c r="BG37" s="188"/>
      <c r="BH37" s="188"/>
      <c r="BI37" s="188"/>
      <c r="BJ37" s="188"/>
      <c r="BK37" s="188"/>
      <c r="BL37" s="188"/>
      <c r="BM37" s="188"/>
      <c r="BN37" s="188"/>
      <c r="BO37" s="188"/>
      <c r="BP37" s="188"/>
    </row>
    <row r="38" spans="2:68" x14ac:dyDescent="0.15">
      <c r="B38" s="170">
        <v>39877</v>
      </c>
      <c r="C38" s="170" t="s">
        <v>309</v>
      </c>
      <c r="D38" s="170" t="s">
        <v>249</v>
      </c>
      <c r="E38" s="170" t="s">
        <v>250</v>
      </c>
      <c r="F38" s="170" t="s">
        <v>310</v>
      </c>
      <c r="G38" s="170" t="s">
        <v>310</v>
      </c>
      <c r="H38" s="170">
        <v>23</v>
      </c>
      <c r="I38" s="169"/>
      <c r="J38" s="170" t="s">
        <v>83</v>
      </c>
      <c r="K38" s="171" t="s">
        <v>83</v>
      </c>
      <c r="L38" s="171" t="s">
        <v>83</v>
      </c>
      <c r="M38" s="171" t="s">
        <v>83</v>
      </c>
      <c r="N38" s="171" t="s">
        <v>83</v>
      </c>
      <c r="O38" s="171" t="s">
        <v>83</v>
      </c>
      <c r="P38" s="171" t="s">
        <v>83</v>
      </c>
      <c r="Q38" s="171" t="s">
        <v>83</v>
      </c>
      <c r="R38" s="171" t="s">
        <v>83</v>
      </c>
      <c r="S38" s="171" t="s">
        <v>83</v>
      </c>
      <c r="T38" s="171" t="s">
        <v>83</v>
      </c>
      <c r="U38" s="171" t="s">
        <v>83</v>
      </c>
      <c r="V38" s="171" t="s">
        <v>83</v>
      </c>
      <c r="W38" s="171" t="s">
        <v>83</v>
      </c>
      <c r="X38" s="171" t="s">
        <v>83</v>
      </c>
      <c r="Y38" s="171" t="s">
        <v>83</v>
      </c>
      <c r="Z38" s="171" t="s">
        <v>83</v>
      </c>
      <c r="AA38" s="171" t="s">
        <v>83</v>
      </c>
      <c r="AB38" s="171" t="s">
        <v>83</v>
      </c>
      <c r="AC38" s="171" t="s">
        <v>83</v>
      </c>
      <c r="AD38" s="171" t="s">
        <v>83</v>
      </c>
      <c r="AE38" s="171" t="s">
        <v>83</v>
      </c>
      <c r="AF38" s="171" t="s">
        <v>83</v>
      </c>
      <c r="AG38" s="171" t="s">
        <v>83</v>
      </c>
      <c r="AH38" s="171" t="s">
        <v>83</v>
      </c>
      <c r="AI38" s="171" t="s">
        <v>83</v>
      </c>
      <c r="AJ38" s="171" t="s">
        <v>83</v>
      </c>
      <c r="AK38" s="171" t="s">
        <v>83</v>
      </c>
      <c r="AL38" s="141"/>
      <c r="AM38" s="188"/>
      <c r="AN38" s="188"/>
      <c r="AO38" s="188"/>
      <c r="AP38" s="188"/>
      <c r="AQ38" s="188"/>
      <c r="AR38" s="188"/>
      <c r="AS38" s="188"/>
      <c r="AT38" s="188"/>
      <c r="AU38" s="188"/>
      <c r="AV38" s="188"/>
      <c r="AW38" s="188"/>
      <c r="AX38" s="188"/>
      <c r="AY38" s="188"/>
      <c r="AZ38" s="188"/>
      <c r="BA38" s="188"/>
      <c r="BB38" s="188"/>
      <c r="BC38" s="188"/>
      <c r="BD38" s="188"/>
      <c r="BE38" s="188"/>
      <c r="BF38" s="188"/>
      <c r="BG38" s="188"/>
      <c r="BH38" s="188"/>
      <c r="BI38" s="188"/>
      <c r="BJ38" s="188"/>
      <c r="BK38" s="188"/>
      <c r="BL38" s="188"/>
      <c r="BM38" s="188"/>
      <c r="BN38" s="188"/>
      <c r="BO38" s="188"/>
      <c r="BP38" s="188"/>
    </row>
    <row r="39" spans="2:68" x14ac:dyDescent="0.15">
      <c r="B39" s="141">
        <v>11918</v>
      </c>
      <c r="C39" s="141" t="s">
        <v>311</v>
      </c>
      <c r="D39" s="141" t="s">
        <v>249</v>
      </c>
      <c r="E39" s="141" t="s">
        <v>250</v>
      </c>
      <c r="F39" s="141" t="s">
        <v>172</v>
      </c>
      <c r="G39" s="141" t="s">
        <v>172</v>
      </c>
      <c r="H39" s="141">
        <v>32</v>
      </c>
      <c r="I39" s="172"/>
      <c r="J39" s="141"/>
      <c r="K39" s="173"/>
      <c r="L39" s="173"/>
      <c r="M39" s="173"/>
      <c r="N39" s="173"/>
      <c r="O39" s="173"/>
      <c r="P39" s="173"/>
      <c r="Q39" s="173"/>
      <c r="R39" s="173"/>
      <c r="S39" s="173"/>
      <c r="T39" s="173"/>
      <c r="U39" s="173"/>
      <c r="V39" s="173"/>
      <c r="W39" s="173"/>
      <c r="X39" s="173"/>
      <c r="Y39" s="173"/>
      <c r="Z39" s="173"/>
      <c r="AA39" s="173"/>
      <c r="AB39" s="173"/>
      <c r="AC39" s="173"/>
      <c r="AD39" s="173"/>
      <c r="AE39" s="173"/>
      <c r="AF39" s="173"/>
      <c r="AG39" s="173"/>
      <c r="AH39" s="173"/>
      <c r="AI39" s="173"/>
      <c r="AJ39" s="173"/>
      <c r="AK39" s="173"/>
      <c r="AL39" s="141"/>
      <c r="AM39" s="188"/>
      <c r="AN39" s="188"/>
      <c r="AO39" s="188"/>
      <c r="AP39" s="188"/>
      <c r="AQ39" s="188"/>
      <c r="AR39" s="188"/>
      <c r="AS39" s="188"/>
      <c r="AT39" s="188"/>
      <c r="AU39" s="188"/>
      <c r="AV39" s="188"/>
      <c r="AW39" s="188"/>
      <c r="AX39" s="188"/>
      <c r="AY39" s="188"/>
      <c r="AZ39" s="188"/>
      <c r="BA39" s="188"/>
      <c r="BB39" s="188"/>
      <c r="BC39" s="188"/>
      <c r="BD39" s="188"/>
      <c r="BE39" s="188"/>
      <c r="BF39" s="188"/>
      <c r="BG39" s="188"/>
      <c r="BH39" s="188"/>
      <c r="BI39" s="188"/>
      <c r="BJ39" s="188"/>
      <c r="BK39" s="188"/>
      <c r="BL39" s="188"/>
      <c r="BM39" s="188"/>
      <c r="BN39" s="188"/>
      <c r="BO39" s="188"/>
      <c r="BP39" s="188"/>
    </row>
    <row r="40" spans="2:68" x14ac:dyDescent="0.15">
      <c r="B40" s="170">
        <v>25319</v>
      </c>
      <c r="C40" s="170" t="s">
        <v>312</v>
      </c>
      <c r="D40" s="170" t="s">
        <v>249</v>
      </c>
      <c r="E40" s="170" t="s">
        <v>250</v>
      </c>
      <c r="F40" s="170" t="s">
        <v>134</v>
      </c>
      <c r="G40" s="170" t="s">
        <v>142</v>
      </c>
      <c r="H40" s="170">
        <v>45</v>
      </c>
      <c r="I40" s="169"/>
      <c r="J40" s="170" t="s">
        <v>83</v>
      </c>
      <c r="K40" s="171" t="s">
        <v>83</v>
      </c>
      <c r="L40" s="171" t="s">
        <v>83</v>
      </c>
      <c r="M40" s="171" t="s">
        <v>83</v>
      </c>
      <c r="N40" s="171" t="s">
        <v>83</v>
      </c>
      <c r="O40" s="171" t="s">
        <v>83</v>
      </c>
      <c r="P40" s="171" t="s">
        <v>83</v>
      </c>
      <c r="Q40" s="171" t="s">
        <v>83</v>
      </c>
      <c r="R40" s="171" t="s">
        <v>83</v>
      </c>
      <c r="S40" s="171" t="s">
        <v>83</v>
      </c>
      <c r="T40" s="171" t="s">
        <v>83</v>
      </c>
      <c r="U40" s="171" t="s">
        <v>83</v>
      </c>
      <c r="V40" s="171" t="s">
        <v>83</v>
      </c>
      <c r="W40" s="171" t="s">
        <v>83</v>
      </c>
      <c r="X40" s="171" t="s">
        <v>83</v>
      </c>
      <c r="Y40" s="171" t="s">
        <v>83</v>
      </c>
      <c r="Z40" s="171" t="s">
        <v>83</v>
      </c>
      <c r="AA40" s="171" t="s">
        <v>83</v>
      </c>
      <c r="AB40" s="171" t="s">
        <v>83</v>
      </c>
      <c r="AC40" s="171" t="s">
        <v>83</v>
      </c>
      <c r="AD40" s="171" t="s">
        <v>83</v>
      </c>
      <c r="AE40" s="171" t="s">
        <v>83</v>
      </c>
      <c r="AF40" s="171" t="s">
        <v>83</v>
      </c>
      <c r="AG40" s="171" t="s">
        <v>83</v>
      </c>
      <c r="AH40" s="171" t="s">
        <v>83</v>
      </c>
      <c r="AI40" s="171" t="s">
        <v>83</v>
      </c>
      <c r="AJ40" s="171" t="s">
        <v>83</v>
      </c>
      <c r="AK40" s="171" t="s">
        <v>83</v>
      </c>
      <c r="AL40" s="141"/>
      <c r="AM40" s="188"/>
      <c r="AN40" s="188"/>
      <c r="AO40" s="188"/>
      <c r="AP40" s="188"/>
      <c r="AQ40" s="188"/>
      <c r="AR40" s="188"/>
      <c r="AS40" s="188"/>
      <c r="AT40" s="188"/>
      <c r="AU40" s="188"/>
      <c r="AV40" s="188"/>
      <c r="AW40" s="188"/>
      <c r="AX40" s="188"/>
      <c r="AY40" s="188"/>
      <c r="AZ40" s="188"/>
      <c r="BA40" s="188"/>
      <c r="BB40" s="188"/>
      <c r="BC40" s="188"/>
      <c r="BD40" s="188"/>
      <c r="BE40" s="188"/>
      <c r="BF40" s="188"/>
      <c r="BG40" s="188"/>
      <c r="BH40" s="188"/>
      <c r="BI40" s="188"/>
      <c r="BJ40" s="188"/>
      <c r="BK40" s="188"/>
      <c r="BL40" s="188"/>
      <c r="BM40" s="188"/>
      <c r="BN40" s="188"/>
      <c r="BO40" s="188"/>
      <c r="BP40" s="188"/>
    </row>
    <row r="41" spans="2:68" x14ac:dyDescent="0.15">
      <c r="B41" s="141">
        <v>63737</v>
      </c>
      <c r="C41" s="141" t="s">
        <v>313</v>
      </c>
      <c r="D41" s="141" t="s">
        <v>249</v>
      </c>
      <c r="E41" s="141" t="s">
        <v>250</v>
      </c>
      <c r="F41" s="141" t="s">
        <v>314</v>
      </c>
      <c r="G41" s="141" t="s">
        <v>315</v>
      </c>
      <c r="H41" s="141">
        <v>31</v>
      </c>
      <c r="I41" s="172"/>
      <c r="J41" s="141" t="s">
        <v>83</v>
      </c>
      <c r="K41" s="173" t="s">
        <v>83</v>
      </c>
      <c r="L41" s="173" t="s">
        <v>83</v>
      </c>
      <c r="M41" s="173" t="s">
        <v>83</v>
      </c>
      <c r="N41" s="173" t="s">
        <v>83</v>
      </c>
      <c r="O41" s="173" t="s">
        <v>83</v>
      </c>
      <c r="P41" s="173" t="s">
        <v>83</v>
      </c>
      <c r="Q41" s="173" t="s">
        <v>83</v>
      </c>
      <c r="R41" s="173" t="s">
        <v>83</v>
      </c>
      <c r="S41" s="173" t="s">
        <v>83</v>
      </c>
      <c r="T41" s="173" t="s">
        <v>83</v>
      </c>
      <c r="U41" s="173" t="s">
        <v>83</v>
      </c>
      <c r="V41" s="173" t="s">
        <v>83</v>
      </c>
      <c r="W41" s="173" t="s">
        <v>83</v>
      </c>
      <c r="X41" s="173" t="s">
        <v>83</v>
      </c>
      <c r="Y41" s="173" t="s">
        <v>83</v>
      </c>
      <c r="Z41" s="173" t="s">
        <v>83</v>
      </c>
      <c r="AA41" s="173" t="s">
        <v>83</v>
      </c>
      <c r="AB41" s="173" t="s">
        <v>83</v>
      </c>
      <c r="AC41" s="173" t="s">
        <v>83</v>
      </c>
      <c r="AD41" s="173" t="s">
        <v>83</v>
      </c>
      <c r="AE41" s="173" t="s">
        <v>83</v>
      </c>
      <c r="AF41" s="173" t="s">
        <v>83</v>
      </c>
      <c r="AG41" s="173" t="s">
        <v>83</v>
      </c>
      <c r="AH41" s="173" t="s">
        <v>83</v>
      </c>
      <c r="AI41" s="173" t="s">
        <v>83</v>
      </c>
      <c r="AJ41" s="173" t="s">
        <v>83</v>
      </c>
      <c r="AK41" s="173" t="s">
        <v>83</v>
      </c>
      <c r="AL41" s="141"/>
      <c r="AM41" s="188"/>
      <c r="AN41" s="188"/>
      <c r="AO41" s="188"/>
      <c r="AP41" s="188"/>
      <c r="AQ41" s="188"/>
      <c r="AR41" s="188"/>
      <c r="AS41" s="188"/>
      <c r="AT41" s="188"/>
      <c r="AU41" s="188"/>
      <c r="AV41" s="188"/>
      <c r="AW41" s="188"/>
      <c r="AX41" s="188"/>
      <c r="AY41" s="188"/>
      <c r="AZ41" s="188"/>
      <c r="BA41" s="188"/>
      <c r="BB41" s="188"/>
      <c r="BC41" s="188"/>
      <c r="BD41" s="188"/>
      <c r="BE41" s="188"/>
      <c r="BF41" s="188"/>
      <c r="BG41" s="188"/>
      <c r="BH41" s="188"/>
      <c r="BI41" s="188"/>
      <c r="BJ41" s="188"/>
      <c r="BK41" s="188"/>
      <c r="BL41" s="188"/>
      <c r="BM41" s="188"/>
      <c r="BN41" s="188"/>
      <c r="BO41" s="188"/>
      <c r="BP41" s="188"/>
    </row>
    <row r="42" spans="2:68" x14ac:dyDescent="0.15">
      <c r="B42" s="170">
        <v>10401</v>
      </c>
      <c r="C42" s="170" t="s">
        <v>316</v>
      </c>
      <c r="D42" s="170" t="s">
        <v>249</v>
      </c>
      <c r="E42" s="170" t="s">
        <v>250</v>
      </c>
      <c r="F42" s="170" t="s">
        <v>317</v>
      </c>
      <c r="G42" s="170" t="s">
        <v>318</v>
      </c>
      <c r="H42" s="170">
        <v>45</v>
      </c>
      <c r="I42" s="169"/>
      <c r="J42" s="170"/>
      <c r="K42" s="171"/>
      <c r="L42" s="171"/>
      <c r="M42" s="171"/>
      <c r="N42" s="171"/>
      <c r="O42" s="171"/>
      <c r="P42" s="171"/>
      <c r="Q42" s="171"/>
      <c r="R42" s="171"/>
      <c r="S42" s="171"/>
      <c r="T42" s="171"/>
      <c r="U42" s="171"/>
      <c r="V42" s="171"/>
      <c r="W42" s="171"/>
      <c r="X42" s="171"/>
      <c r="Y42" s="171"/>
      <c r="Z42" s="171"/>
      <c r="AA42" s="171"/>
      <c r="AB42" s="171"/>
      <c r="AC42" s="171"/>
      <c r="AD42" s="171"/>
      <c r="AE42" s="171"/>
      <c r="AF42" s="171"/>
      <c r="AG42" s="171"/>
      <c r="AH42" s="171"/>
      <c r="AI42" s="171"/>
      <c r="AJ42" s="171"/>
      <c r="AK42" s="171"/>
      <c r="AL42" s="141"/>
      <c r="AM42" s="188"/>
      <c r="AN42" s="188"/>
      <c r="AO42" s="188"/>
      <c r="AP42" s="188"/>
      <c r="AQ42" s="188"/>
      <c r="AR42" s="188"/>
      <c r="AS42" s="188"/>
      <c r="AT42" s="188"/>
      <c r="AU42" s="188"/>
      <c r="AV42" s="188"/>
      <c r="AW42" s="188"/>
      <c r="AX42" s="188"/>
      <c r="AY42" s="188"/>
      <c r="AZ42" s="188"/>
      <c r="BA42" s="188"/>
      <c r="BB42" s="188"/>
      <c r="BC42" s="188"/>
      <c r="BD42" s="188"/>
      <c r="BE42" s="188"/>
      <c r="BF42" s="188"/>
      <c r="BG42" s="188"/>
      <c r="BH42" s="188"/>
      <c r="BI42" s="188"/>
      <c r="BJ42" s="188"/>
      <c r="BK42" s="188"/>
      <c r="BL42" s="188"/>
      <c r="BM42" s="188"/>
      <c r="BN42" s="188"/>
      <c r="BO42" s="188"/>
      <c r="BP42" s="188"/>
    </row>
    <row r="43" spans="2:68" x14ac:dyDescent="0.15">
      <c r="B43" s="141">
        <v>49007</v>
      </c>
      <c r="C43" s="141" t="s">
        <v>319</v>
      </c>
      <c r="D43" s="141" t="s">
        <v>249</v>
      </c>
      <c r="E43" s="141" t="s">
        <v>250</v>
      </c>
      <c r="F43" s="141" t="s">
        <v>196</v>
      </c>
      <c r="G43" s="141" t="s">
        <v>320</v>
      </c>
      <c r="H43" s="141">
        <v>24</v>
      </c>
      <c r="I43" s="172"/>
      <c r="J43" s="141" t="s">
        <v>83</v>
      </c>
      <c r="K43" s="173" t="s">
        <v>83</v>
      </c>
      <c r="L43" s="173" t="s">
        <v>83</v>
      </c>
      <c r="M43" s="173" t="s">
        <v>83</v>
      </c>
      <c r="N43" s="173" t="s">
        <v>83</v>
      </c>
      <c r="O43" s="173" t="s">
        <v>83</v>
      </c>
      <c r="P43" s="173" t="s">
        <v>83</v>
      </c>
      <c r="Q43" s="173" t="s">
        <v>83</v>
      </c>
      <c r="R43" s="173" t="s">
        <v>83</v>
      </c>
      <c r="S43" s="173" t="s">
        <v>83</v>
      </c>
      <c r="T43" s="173" t="s">
        <v>83</v>
      </c>
      <c r="U43" s="173" t="s">
        <v>83</v>
      </c>
      <c r="V43" s="173" t="s">
        <v>83</v>
      </c>
      <c r="W43" s="173" t="s">
        <v>83</v>
      </c>
      <c r="X43" s="173" t="s">
        <v>83</v>
      </c>
      <c r="Y43" s="173" t="s">
        <v>83</v>
      </c>
      <c r="Z43" s="173" t="s">
        <v>83</v>
      </c>
      <c r="AA43" s="173" t="s">
        <v>83</v>
      </c>
      <c r="AB43" s="173" t="s">
        <v>83</v>
      </c>
      <c r="AC43" s="173" t="s">
        <v>83</v>
      </c>
      <c r="AD43" s="173" t="s">
        <v>83</v>
      </c>
      <c r="AE43" s="173" t="s">
        <v>83</v>
      </c>
      <c r="AF43" s="173" t="s">
        <v>83</v>
      </c>
      <c r="AG43" s="173" t="s">
        <v>83</v>
      </c>
      <c r="AH43" s="173" t="s">
        <v>83</v>
      </c>
      <c r="AI43" s="173" t="s">
        <v>83</v>
      </c>
      <c r="AJ43" s="173" t="s">
        <v>83</v>
      </c>
      <c r="AK43" s="173" t="s">
        <v>83</v>
      </c>
      <c r="AL43" s="141"/>
      <c r="AM43" s="188"/>
      <c r="AN43" s="188"/>
      <c r="AO43" s="188"/>
      <c r="AP43" s="188"/>
      <c r="AQ43" s="188"/>
      <c r="AR43" s="188"/>
      <c r="AS43" s="188"/>
      <c r="AT43" s="188"/>
      <c r="AU43" s="188"/>
      <c r="AV43" s="188"/>
      <c r="AW43" s="188"/>
      <c r="AX43" s="188"/>
      <c r="AY43" s="188"/>
      <c r="AZ43" s="188"/>
      <c r="BA43" s="188"/>
      <c r="BB43" s="188"/>
      <c r="BC43" s="188"/>
      <c r="BD43" s="188"/>
      <c r="BE43" s="188"/>
      <c r="BF43" s="188"/>
      <c r="BG43" s="188"/>
      <c r="BH43" s="188"/>
      <c r="BI43" s="188"/>
      <c r="BJ43" s="188"/>
      <c r="BK43" s="188"/>
      <c r="BL43" s="188"/>
      <c r="BM43" s="188"/>
      <c r="BN43" s="188"/>
      <c r="BO43" s="188"/>
      <c r="BP43" s="188"/>
    </row>
    <row r="44" spans="2:68" x14ac:dyDescent="0.15">
      <c r="B44" s="170">
        <v>61898</v>
      </c>
      <c r="C44" s="170" t="s">
        <v>321</v>
      </c>
      <c r="D44" s="170" t="s">
        <v>249</v>
      </c>
      <c r="E44" s="170" t="s">
        <v>250</v>
      </c>
      <c r="F44" s="170" t="s">
        <v>167</v>
      </c>
      <c r="G44" s="170" t="s">
        <v>322</v>
      </c>
      <c r="H44" s="170">
        <v>41</v>
      </c>
      <c r="I44" s="169"/>
      <c r="J44" s="170" t="s">
        <v>83</v>
      </c>
      <c r="K44" s="171" t="s">
        <v>83</v>
      </c>
      <c r="L44" s="171" t="s">
        <v>83</v>
      </c>
      <c r="M44" s="171" t="s">
        <v>83</v>
      </c>
      <c r="N44" s="171" t="s">
        <v>83</v>
      </c>
      <c r="O44" s="171" t="s">
        <v>83</v>
      </c>
      <c r="P44" s="171" t="s">
        <v>83</v>
      </c>
      <c r="Q44" s="171" t="s">
        <v>83</v>
      </c>
      <c r="R44" s="171" t="s">
        <v>83</v>
      </c>
      <c r="S44" s="171" t="s">
        <v>83</v>
      </c>
      <c r="T44" s="171" t="s">
        <v>83</v>
      </c>
      <c r="U44" s="171" t="s">
        <v>83</v>
      </c>
      <c r="V44" s="171" t="s">
        <v>83</v>
      </c>
      <c r="W44" s="171" t="s">
        <v>83</v>
      </c>
      <c r="X44" s="171" t="s">
        <v>83</v>
      </c>
      <c r="Y44" s="171" t="s">
        <v>83</v>
      </c>
      <c r="Z44" s="171" t="s">
        <v>83</v>
      </c>
      <c r="AA44" s="171" t="s">
        <v>83</v>
      </c>
      <c r="AB44" s="171" t="s">
        <v>83</v>
      </c>
      <c r="AC44" s="171" t="s">
        <v>83</v>
      </c>
      <c r="AD44" s="171" t="s">
        <v>83</v>
      </c>
      <c r="AE44" s="171" t="s">
        <v>83</v>
      </c>
      <c r="AF44" s="171" t="s">
        <v>83</v>
      </c>
      <c r="AG44" s="171" t="s">
        <v>83</v>
      </c>
      <c r="AH44" s="171" t="s">
        <v>83</v>
      </c>
      <c r="AI44" s="171" t="s">
        <v>83</v>
      </c>
      <c r="AJ44" s="171" t="s">
        <v>83</v>
      </c>
      <c r="AK44" s="171" t="s">
        <v>83</v>
      </c>
      <c r="AL44" s="141"/>
      <c r="AM44" s="188"/>
      <c r="AN44" s="188"/>
      <c r="AO44" s="188"/>
      <c r="AP44" s="188"/>
      <c r="AQ44" s="188"/>
      <c r="AR44" s="188"/>
      <c r="AS44" s="188"/>
      <c r="AT44" s="188"/>
      <c r="AU44" s="188"/>
      <c r="AV44" s="188"/>
      <c r="AW44" s="188"/>
      <c r="AX44" s="188"/>
      <c r="AY44" s="188"/>
      <c r="AZ44" s="188"/>
      <c r="BA44" s="188"/>
      <c r="BB44" s="188"/>
      <c r="BC44" s="188"/>
      <c r="BD44" s="188"/>
      <c r="BE44" s="188"/>
      <c r="BF44" s="188"/>
      <c r="BG44" s="188"/>
      <c r="BH44" s="188"/>
      <c r="BI44" s="188"/>
      <c r="BJ44" s="188"/>
      <c r="BK44" s="188"/>
      <c r="BL44" s="188"/>
      <c r="BM44" s="188"/>
      <c r="BN44" s="188"/>
      <c r="BO44" s="188"/>
      <c r="BP44" s="188"/>
    </row>
    <row r="45" spans="2:68" x14ac:dyDescent="0.15">
      <c r="B45" s="141">
        <v>68841</v>
      </c>
      <c r="C45" s="141" t="s">
        <v>323</v>
      </c>
      <c r="D45" s="141" t="s">
        <v>249</v>
      </c>
      <c r="E45" s="141" t="s">
        <v>250</v>
      </c>
      <c r="F45" s="141" t="s">
        <v>232</v>
      </c>
      <c r="G45" s="141" t="s">
        <v>232</v>
      </c>
      <c r="H45" s="141">
        <v>12</v>
      </c>
      <c r="I45" s="172"/>
      <c r="J45" s="141"/>
      <c r="K45" s="173"/>
      <c r="L45" s="173"/>
      <c r="M45" s="173"/>
      <c r="N45" s="173"/>
      <c r="O45" s="173"/>
      <c r="P45" s="173"/>
      <c r="Q45" s="173"/>
      <c r="R45" s="173"/>
      <c r="S45" s="173"/>
      <c r="T45" s="173"/>
      <c r="U45" s="173"/>
      <c r="V45" s="173"/>
      <c r="W45" s="173"/>
      <c r="X45" s="173"/>
      <c r="Y45" s="173"/>
      <c r="Z45" s="173"/>
      <c r="AA45" s="173"/>
      <c r="AB45" s="173"/>
      <c r="AC45" s="173"/>
      <c r="AD45" s="173"/>
      <c r="AE45" s="173"/>
      <c r="AF45" s="173"/>
      <c r="AG45" s="173"/>
      <c r="AH45" s="173"/>
      <c r="AI45" s="173"/>
      <c r="AJ45" s="173"/>
      <c r="AK45" s="173"/>
      <c r="AL45" s="141"/>
      <c r="AM45" s="188"/>
      <c r="AN45" s="188"/>
      <c r="AO45" s="188"/>
      <c r="AP45" s="188"/>
      <c r="AQ45" s="188"/>
      <c r="AR45" s="188"/>
      <c r="AS45" s="188"/>
      <c r="AT45" s="188"/>
      <c r="AU45" s="188"/>
      <c r="AV45" s="188"/>
      <c r="AW45" s="188"/>
      <c r="AX45" s="188"/>
      <c r="AY45" s="188"/>
      <c r="AZ45" s="188"/>
      <c r="BA45" s="188"/>
      <c r="BB45" s="188"/>
      <c r="BC45" s="188"/>
      <c r="BD45" s="188"/>
      <c r="BE45" s="188"/>
      <c r="BF45" s="188"/>
      <c r="BG45" s="188"/>
      <c r="BH45" s="188"/>
      <c r="BI45" s="188"/>
      <c r="BJ45" s="188"/>
      <c r="BK45" s="188"/>
      <c r="BL45" s="188"/>
      <c r="BM45" s="188"/>
      <c r="BN45" s="188"/>
      <c r="BO45" s="188"/>
      <c r="BP45" s="188"/>
    </row>
    <row r="46" spans="2:68" x14ac:dyDescent="0.15">
      <c r="B46" s="170">
        <v>43347</v>
      </c>
      <c r="C46" s="170" t="s">
        <v>324</v>
      </c>
      <c r="D46" s="170" t="s">
        <v>249</v>
      </c>
      <c r="E46" s="170" t="s">
        <v>250</v>
      </c>
      <c r="F46" s="170" t="s">
        <v>325</v>
      </c>
      <c r="G46" s="170" t="s">
        <v>325</v>
      </c>
      <c r="H46" s="170">
        <v>15</v>
      </c>
      <c r="I46" s="169"/>
      <c r="J46" s="170" t="s">
        <v>115</v>
      </c>
      <c r="K46" s="171" t="s">
        <v>115</v>
      </c>
      <c r="L46" s="171" t="s">
        <v>115</v>
      </c>
      <c r="M46" s="171" t="s">
        <v>115</v>
      </c>
      <c r="N46" s="171" t="s">
        <v>115</v>
      </c>
      <c r="O46" s="171" t="s">
        <v>115</v>
      </c>
      <c r="P46" s="171" t="s">
        <v>115</v>
      </c>
      <c r="Q46" s="171" t="s">
        <v>115</v>
      </c>
      <c r="R46" s="171" t="s">
        <v>115</v>
      </c>
      <c r="S46" s="171" t="s">
        <v>115</v>
      </c>
      <c r="T46" s="171" t="s">
        <v>115</v>
      </c>
      <c r="U46" s="171" t="s">
        <v>115</v>
      </c>
      <c r="V46" s="171" t="s">
        <v>115</v>
      </c>
      <c r="W46" s="171" t="s">
        <v>115</v>
      </c>
      <c r="X46" s="171" t="s">
        <v>115</v>
      </c>
      <c r="Y46" s="171" t="s">
        <v>115</v>
      </c>
      <c r="Z46" s="171" t="s">
        <v>115</v>
      </c>
      <c r="AA46" s="171" t="s">
        <v>115</v>
      </c>
      <c r="AB46" s="171" t="s">
        <v>115</v>
      </c>
      <c r="AC46" s="171" t="s">
        <v>115</v>
      </c>
      <c r="AD46" s="171" t="s">
        <v>115</v>
      </c>
      <c r="AE46" s="171" t="s">
        <v>115</v>
      </c>
      <c r="AF46" s="171" t="s">
        <v>115</v>
      </c>
      <c r="AG46" s="171" t="s">
        <v>115</v>
      </c>
      <c r="AH46" s="171" t="s">
        <v>115</v>
      </c>
      <c r="AI46" s="171" t="s">
        <v>115</v>
      </c>
      <c r="AJ46" s="171" t="s">
        <v>115</v>
      </c>
      <c r="AK46" s="171" t="s">
        <v>115</v>
      </c>
      <c r="AL46" s="141"/>
      <c r="AM46" s="188"/>
      <c r="AN46" s="188"/>
      <c r="AO46" s="188"/>
      <c r="AP46" s="188"/>
      <c r="AQ46" s="188"/>
      <c r="AR46" s="188"/>
      <c r="AS46" s="188"/>
      <c r="AT46" s="188"/>
      <c r="AU46" s="188"/>
      <c r="AV46" s="188"/>
      <c r="AW46" s="188"/>
      <c r="AX46" s="188"/>
      <c r="AY46" s="188"/>
      <c r="AZ46" s="188"/>
      <c r="BA46" s="188"/>
      <c r="BB46" s="188"/>
      <c r="BC46" s="188"/>
      <c r="BD46" s="188"/>
      <c r="BE46" s="188"/>
      <c r="BF46" s="188"/>
      <c r="BG46" s="188"/>
      <c r="BH46" s="188"/>
      <c r="BI46" s="188"/>
      <c r="BJ46" s="188"/>
      <c r="BK46" s="188"/>
      <c r="BL46" s="188"/>
      <c r="BM46" s="188"/>
      <c r="BN46" s="188"/>
      <c r="BO46" s="188"/>
      <c r="BP46" s="188"/>
    </row>
    <row r="47" spans="2:68" x14ac:dyDescent="0.15">
      <c r="B47" s="141">
        <v>68846</v>
      </c>
      <c r="C47" s="141" t="s">
        <v>326</v>
      </c>
      <c r="D47" s="141" t="s">
        <v>249</v>
      </c>
      <c r="E47" s="141" t="s">
        <v>250</v>
      </c>
      <c r="F47" s="141" t="s">
        <v>232</v>
      </c>
      <c r="G47" s="141" t="s">
        <v>232</v>
      </c>
      <c r="H47" s="141">
        <v>5</v>
      </c>
      <c r="I47" s="172"/>
      <c r="J47" s="141" t="s">
        <v>115</v>
      </c>
      <c r="K47" s="173" t="s">
        <v>115</v>
      </c>
      <c r="L47" s="173" t="s">
        <v>115</v>
      </c>
      <c r="M47" s="173" t="s">
        <v>115</v>
      </c>
      <c r="N47" s="173" t="s">
        <v>115</v>
      </c>
      <c r="O47" s="173" t="s">
        <v>115</v>
      </c>
      <c r="P47" s="173" t="s">
        <v>115</v>
      </c>
      <c r="Q47" s="173" t="s">
        <v>115</v>
      </c>
      <c r="R47" s="173" t="s">
        <v>115</v>
      </c>
      <c r="S47" s="173" t="s">
        <v>115</v>
      </c>
      <c r="T47" s="173" t="s">
        <v>115</v>
      </c>
      <c r="U47" s="173" t="s">
        <v>115</v>
      </c>
      <c r="V47" s="173" t="s">
        <v>115</v>
      </c>
      <c r="W47" s="173" t="s">
        <v>115</v>
      </c>
      <c r="X47" s="173" t="s">
        <v>115</v>
      </c>
      <c r="Y47" s="173" t="s">
        <v>115</v>
      </c>
      <c r="Z47" s="173" t="s">
        <v>115</v>
      </c>
      <c r="AA47" s="173" t="s">
        <v>115</v>
      </c>
      <c r="AB47" s="173" t="s">
        <v>115</v>
      </c>
      <c r="AC47" s="173" t="s">
        <v>115</v>
      </c>
      <c r="AD47" s="173" t="s">
        <v>115</v>
      </c>
      <c r="AE47" s="173" t="s">
        <v>115</v>
      </c>
      <c r="AF47" s="173" t="s">
        <v>115</v>
      </c>
      <c r="AG47" s="173" t="s">
        <v>115</v>
      </c>
      <c r="AH47" s="173" t="s">
        <v>115</v>
      </c>
      <c r="AI47" s="173" t="s">
        <v>115</v>
      </c>
      <c r="AJ47" s="173" t="s">
        <v>115</v>
      </c>
      <c r="AK47" s="173" t="s">
        <v>115</v>
      </c>
      <c r="AL47" s="141"/>
      <c r="AM47" s="188"/>
      <c r="AN47" s="188"/>
      <c r="AO47" s="188"/>
      <c r="AP47" s="188"/>
      <c r="AQ47" s="188"/>
      <c r="AR47" s="188"/>
      <c r="AS47" s="188"/>
      <c r="AT47" s="188"/>
      <c r="AU47" s="188"/>
      <c r="AV47" s="188"/>
      <c r="AW47" s="188"/>
      <c r="AX47" s="188"/>
      <c r="AY47" s="188"/>
      <c r="AZ47" s="188"/>
      <c r="BA47" s="188"/>
      <c r="BB47" s="188"/>
      <c r="BC47" s="188"/>
      <c r="BD47" s="188"/>
      <c r="BE47" s="188"/>
      <c r="BF47" s="188"/>
      <c r="BG47" s="188"/>
      <c r="BH47" s="188"/>
      <c r="BI47" s="188"/>
      <c r="BJ47" s="188"/>
      <c r="BK47" s="188"/>
      <c r="BL47" s="188"/>
      <c r="BM47" s="188"/>
      <c r="BN47" s="188"/>
      <c r="BO47" s="188"/>
      <c r="BP47" s="188"/>
    </row>
    <row r="48" spans="2:68" x14ac:dyDescent="0.15">
      <c r="B48" s="170">
        <v>38288</v>
      </c>
      <c r="C48" s="170" t="s">
        <v>327</v>
      </c>
      <c r="D48" s="170" t="s">
        <v>249</v>
      </c>
      <c r="E48" s="170" t="s">
        <v>250</v>
      </c>
      <c r="F48" s="170" t="s">
        <v>165</v>
      </c>
      <c r="G48" s="170" t="s">
        <v>328</v>
      </c>
      <c r="H48" s="170">
        <v>31</v>
      </c>
      <c r="I48" s="169"/>
      <c r="J48" s="170" t="s">
        <v>83</v>
      </c>
      <c r="K48" s="171" t="s">
        <v>83</v>
      </c>
      <c r="L48" s="171" t="s">
        <v>83</v>
      </c>
      <c r="M48" s="171" t="s">
        <v>83</v>
      </c>
      <c r="N48" s="171" t="s">
        <v>83</v>
      </c>
      <c r="O48" s="171" t="s">
        <v>83</v>
      </c>
      <c r="P48" s="171" t="s">
        <v>83</v>
      </c>
      <c r="Q48" s="171" t="s">
        <v>83</v>
      </c>
      <c r="R48" s="171" t="s">
        <v>83</v>
      </c>
      <c r="S48" s="171" t="s">
        <v>83</v>
      </c>
      <c r="T48" s="171" t="s">
        <v>83</v>
      </c>
      <c r="U48" s="171" t="s">
        <v>83</v>
      </c>
      <c r="V48" s="171" t="s">
        <v>83</v>
      </c>
      <c r="W48" s="171" t="s">
        <v>83</v>
      </c>
      <c r="X48" s="171" t="s">
        <v>83</v>
      </c>
      <c r="Y48" s="171" t="s">
        <v>83</v>
      </c>
      <c r="Z48" s="171" t="s">
        <v>83</v>
      </c>
      <c r="AA48" s="171" t="s">
        <v>88</v>
      </c>
      <c r="AB48" s="171" t="s">
        <v>88</v>
      </c>
      <c r="AC48" s="171" t="s">
        <v>88</v>
      </c>
      <c r="AD48" s="171" t="s">
        <v>88</v>
      </c>
      <c r="AE48" s="171" t="s">
        <v>88</v>
      </c>
      <c r="AF48" s="171" t="s">
        <v>88</v>
      </c>
      <c r="AG48" s="171" t="s">
        <v>88</v>
      </c>
      <c r="AH48" s="171" t="s">
        <v>88</v>
      </c>
      <c r="AI48" s="171" t="s">
        <v>88</v>
      </c>
      <c r="AJ48" s="171" t="s">
        <v>88</v>
      </c>
      <c r="AK48" s="171" t="s">
        <v>88</v>
      </c>
      <c r="AL48" s="141"/>
      <c r="AM48" s="188"/>
      <c r="AN48" s="188"/>
      <c r="AO48" s="188"/>
      <c r="AP48" s="188"/>
      <c r="AQ48" s="188"/>
      <c r="AR48" s="188"/>
      <c r="AS48" s="188"/>
      <c r="AT48" s="188"/>
      <c r="AU48" s="188"/>
      <c r="AV48" s="188"/>
      <c r="AW48" s="188"/>
      <c r="AX48" s="188"/>
      <c r="AY48" s="188"/>
      <c r="AZ48" s="188"/>
      <c r="BA48" s="188"/>
      <c r="BB48" s="188"/>
      <c r="BC48" s="188"/>
      <c r="BD48" s="188"/>
      <c r="BE48" s="188"/>
      <c r="BF48" s="188"/>
      <c r="BG48" s="188"/>
      <c r="BH48" s="188"/>
      <c r="BI48" s="188"/>
      <c r="BJ48" s="188"/>
      <c r="BK48" s="188"/>
      <c r="BL48" s="188"/>
      <c r="BM48" s="188"/>
      <c r="BN48" s="188"/>
      <c r="BO48" s="188"/>
      <c r="BP48" s="188"/>
    </row>
    <row r="49" spans="2:68" x14ac:dyDescent="0.15">
      <c r="B49" s="141">
        <v>15401</v>
      </c>
      <c r="C49" s="141" t="s">
        <v>329</v>
      </c>
      <c r="D49" s="141" t="s">
        <v>249</v>
      </c>
      <c r="E49" s="141" t="s">
        <v>250</v>
      </c>
      <c r="F49" s="141" t="s">
        <v>165</v>
      </c>
      <c r="G49" s="141" t="s">
        <v>172</v>
      </c>
      <c r="H49" s="141">
        <v>53</v>
      </c>
      <c r="I49" s="172"/>
      <c r="J49" s="141" t="s">
        <v>88</v>
      </c>
      <c r="K49" s="173" t="s">
        <v>88</v>
      </c>
      <c r="L49" s="173" t="s">
        <v>88</v>
      </c>
      <c r="M49" s="173" t="s">
        <v>88</v>
      </c>
      <c r="N49" s="173" t="s">
        <v>88</v>
      </c>
      <c r="O49" s="173" t="s">
        <v>88</v>
      </c>
      <c r="P49" s="173" t="s">
        <v>88</v>
      </c>
      <c r="Q49" s="173" t="s">
        <v>88</v>
      </c>
      <c r="R49" s="173" t="s">
        <v>88</v>
      </c>
      <c r="S49" s="173" t="s">
        <v>88</v>
      </c>
      <c r="T49" s="173" t="s">
        <v>88</v>
      </c>
      <c r="U49" s="173" t="s">
        <v>88</v>
      </c>
      <c r="V49" s="173" t="s">
        <v>88</v>
      </c>
      <c r="W49" s="173" t="s">
        <v>88</v>
      </c>
      <c r="X49" s="173" t="s">
        <v>88</v>
      </c>
      <c r="Y49" s="173" t="s">
        <v>88</v>
      </c>
      <c r="Z49" s="173" t="s">
        <v>88</v>
      </c>
      <c r="AA49" s="173" t="s">
        <v>88</v>
      </c>
      <c r="AB49" s="173"/>
      <c r="AC49" s="173"/>
      <c r="AD49" s="173"/>
      <c r="AE49" s="173"/>
      <c r="AF49" s="173"/>
      <c r="AG49" s="173"/>
      <c r="AH49" s="173"/>
      <c r="AI49" s="173"/>
      <c r="AJ49" s="173"/>
      <c r="AK49" s="173"/>
      <c r="AL49" s="141"/>
      <c r="AM49" s="188"/>
      <c r="AN49" s="188"/>
      <c r="AO49" s="188"/>
      <c r="AP49" s="188"/>
      <c r="AQ49" s="188"/>
      <c r="AR49" s="188"/>
      <c r="AS49" s="188"/>
      <c r="AT49" s="188"/>
      <c r="AU49" s="188"/>
      <c r="AV49" s="188"/>
      <c r="AW49" s="188"/>
      <c r="AX49" s="188"/>
      <c r="AY49" s="188"/>
      <c r="AZ49" s="188"/>
      <c r="BA49" s="188"/>
      <c r="BB49" s="188"/>
      <c r="BC49" s="188"/>
      <c r="BD49" s="188"/>
      <c r="BE49" s="188"/>
      <c r="BF49" s="188"/>
      <c r="BG49" s="188"/>
      <c r="BH49" s="188"/>
      <c r="BI49" s="188"/>
      <c r="BJ49" s="188"/>
      <c r="BK49" s="188"/>
      <c r="BL49" s="188"/>
      <c r="BM49" s="188"/>
      <c r="BN49" s="188"/>
      <c r="BO49" s="188"/>
      <c r="BP49" s="188"/>
    </row>
    <row r="50" spans="2:68" x14ac:dyDescent="0.15">
      <c r="B50" s="170">
        <v>11915</v>
      </c>
      <c r="C50" s="170" t="s">
        <v>330</v>
      </c>
      <c r="D50" s="170" t="s">
        <v>249</v>
      </c>
      <c r="E50" s="170" t="s">
        <v>250</v>
      </c>
      <c r="F50" s="170" t="s">
        <v>331</v>
      </c>
      <c r="G50" s="170" t="s">
        <v>331</v>
      </c>
      <c r="H50" s="170">
        <v>121</v>
      </c>
      <c r="I50" s="169"/>
      <c r="J50" s="170" t="s">
        <v>83</v>
      </c>
      <c r="K50" s="171" t="s">
        <v>83</v>
      </c>
      <c r="L50" s="171" t="s">
        <v>83</v>
      </c>
      <c r="M50" s="171" t="s">
        <v>83</v>
      </c>
      <c r="N50" s="171" t="s">
        <v>83</v>
      </c>
      <c r="O50" s="171" t="s">
        <v>83</v>
      </c>
      <c r="P50" s="171" t="s">
        <v>83</v>
      </c>
      <c r="Q50" s="171" t="s">
        <v>83</v>
      </c>
      <c r="R50" s="171" t="s">
        <v>83</v>
      </c>
      <c r="S50" s="171" t="s">
        <v>83</v>
      </c>
      <c r="T50" s="171" t="s">
        <v>83</v>
      </c>
      <c r="U50" s="171" t="s">
        <v>83</v>
      </c>
      <c r="V50" s="171" t="s">
        <v>83</v>
      </c>
      <c r="W50" s="171" t="s">
        <v>83</v>
      </c>
      <c r="X50" s="171" t="s">
        <v>83</v>
      </c>
      <c r="Y50" s="171" t="s">
        <v>83</v>
      </c>
      <c r="Z50" s="171" t="s">
        <v>83</v>
      </c>
      <c r="AA50" s="171" t="s">
        <v>83</v>
      </c>
      <c r="AB50" s="171" t="s">
        <v>83</v>
      </c>
      <c r="AC50" s="171" t="s">
        <v>83</v>
      </c>
      <c r="AD50" s="171" t="s">
        <v>83</v>
      </c>
      <c r="AE50" s="171" t="s">
        <v>83</v>
      </c>
      <c r="AF50" s="171" t="s">
        <v>83</v>
      </c>
      <c r="AG50" s="171" t="s">
        <v>83</v>
      </c>
      <c r="AH50" s="171" t="s">
        <v>83</v>
      </c>
      <c r="AI50" s="171" t="s">
        <v>83</v>
      </c>
      <c r="AJ50" s="171" t="s">
        <v>83</v>
      </c>
      <c r="AK50" s="171" t="s">
        <v>83</v>
      </c>
      <c r="AL50" s="141"/>
      <c r="AM50" s="188"/>
      <c r="AN50" s="188"/>
      <c r="AO50" s="188"/>
      <c r="AP50" s="188"/>
      <c r="AQ50" s="188"/>
      <c r="AR50" s="188"/>
      <c r="AS50" s="188"/>
      <c r="AT50" s="188"/>
      <c r="AU50" s="188"/>
      <c r="AV50" s="188"/>
      <c r="AW50" s="188"/>
      <c r="AX50" s="188"/>
      <c r="AY50" s="188"/>
      <c r="AZ50" s="188"/>
      <c r="BA50" s="188"/>
      <c r="BB50" s="188"/>
      <c r="BC50" s="188"/>
      <c r="BD50" s="188"/>
      <c r="BE50" s="188"/>
      <c r="BF50" s="188"/>
      <c r="BG50" s="188"/>
      <c r="BH50" s="188"/>
      <c r="BI50" s="188"/>
      <c r="BJ50" s="188"/>
      <c r="BK50" s="188"/>
      <c r="BL50" s="188"/>
      <c r="BM50" s="188"/>
      <c r="BN50" s="188"/>
      <c r="BO50" s="188"/>
      <c r="BP50" s="188"/>
    </row>
    <row r="51" spans="2:68" x14ac:dyDescent="0.15">
      <c r="B51" s="141">
        <v>58740</v>
      </c>
      <c r="C51" s="141" t="s">
        <v>332</v>
      </c>
      <c r="D51" s="141" t="s">
        <v>249</v>
      </c>
      <c r="E51" s="141" t="s">
        <v>250</v>
      </c>
      <c r="F51" s="141"/>
      <c r="G51" s="141"/>
      <c r="H51" s="141">
        <v>16</v>
      </c>
      <c r="I51" s="172"/>
      <c r="J51" s="141"/>
      <c r="K51" s="173"/>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c r="AK51" s="173"/>
      <c r="AL51" s="141"/>
      <c r="AM51" s="188"/>
      <c r="AN51" s="188"/>
      <c r="AO51" s="188"/>
      <c r="AP51" s="188"/>
      <c r="AQ51" s="188"/>
      <c r="AR51" s="188"/>
      <c r="AS51" s="188"/>
      <c r="AT51" s="188"/>
      <c r="AU51" s="188"/>
      <c r="AV51" s="188"/>
      <c r="AW51" s="188"/>
      <c r="AX51" s="188"/>
      <c r="AY51" s="188"/>
      <c r="AZ51" s="188"/>
      <c r="BA51" s="188"/>
      <c r="BB51" s="188"/>
      <c r="BC51" s="188"/>
      <c r="BD51" s="188"/>
      <c r="BE51" s="188"/>
      <c r="BF51" s="188"/>
      <c r="BG51" s="188"/>
      <c r="BH51" s="188"/>
      <c r="BI51" s="188"/>
      <c r="BJ51" s="188"/>
      <c r="BK51" s="188"/>
      <c r="BL51" s="188"/>
      <c r="BM51" s="188"/>
      <c r="BN51" s="188"/>
      <c r="BO51" s="188"/>
      <c r="BP51" s="188"/>
    </row>
    <row r="52" spans="2:68" x14ac:dyDescent="0.15">
      <c r="B52" s="170">
        <v>11932</v>
      </c>
      <c r="C52" s="170" t="s">
        <v>333</v>
      </c>
      <c r="D52" s="170" t="s">
        <v>249</v>
      </c>
      <c r="E52" s="170" t="s">
        <v>250</v>
      </c>
      <c r="F52" s="170"/>
      <c r="G52" s="170"/>
      <c r="H52" s="170">
        <v>50</v>
      </c>
      <c r="I52" s="169"/>
      <c r="J52" s="170" t="s">
        <v>88</v>
      </c>
      <c r="K52" s="171" t="s">
        <v>88</v>
      </c>
      <c r="L52" s="171" t="s">
        <v>88</v>
      </c>
      <c r="M52" s="171" t="s">
        <v>88</v>
      </c>
      <c r="N52" s="171" t="s">
        <v>88</v>
      </c>
      <c r="O52" s="171" t="s">
        <v>88</v>
      </c>
      <c r="P52" s="171" t="s">
        <v>88</v>
      </c>
      <c r="Q52" s="171" t="s">
        <v>88</v>
      </c>
      <c r="R52" s="171" t="s">
        <v>88</v>
      </c>
      <c r="S52" s="171" t="s">
        <v>88</v>
      </c>
      <c r="T52" s="171" t="s">
        <v>88</v>
      </c>
      <c r="U52" s="171" t="s">
        <v>88</v>
      </c>
      <c r="V52" s="171" t="s">
        <v>88</v>
      </c>
      <c r="W52" s="171" t="s">
        <v>88</v>
      </c>
      <c r="X52" s="171" t="s">
        <v>88</v>
      </c>
      <c r="Y52" s="171" t="s">
        <v>88</v>
      </c>
      <c r="Z52" s="171" t="s">
        <v>88</v>
      </c>
      <c r="AA52" s="171" t="s">
        <v>88</v>
      </c>
      <c r="AB52" s="171" t="s">
        <v>88</v>
      </c>
      <c r="AC52" s="171" t="s">
        <v>88</v>
      </c>
      <c r="AD52" s="171" t="s">
        <v>88</v>
      </c>
      <c r="AE52" s="171" t="s">
        <v>88</v>
      </c>
      <c r="AF52" s="171" t="s">
        <v>88</v>
      </c>
      <c r="AG52" s="171" t="s">
        <v>88</v>
      </c>
      <c r="AH52" s="171" t="s">
        <v>88</v>
      </c>
      <c r="AI52" s="171" t="s">
        <v>88</v>
      </c>
      <c r="AJ52" s="171" t="s">
        <v>88</v>
      </c>
      <c r="AK52" s="171" t="s">
        <v>88</v>
      </c>
      <c r="AL52" s="141"/>
      <c r="AM52" s="188"/>
      <c r="AN52" s="188"/>
      <c r="AO52" s="188"/>
      <c r="AP52" s="188"/>
      <c r="AQ52" s="188"/>
      <c r="AR52" s="188"/>
      <c r="AS52" s="188"/>
      <c r="AT52" s="188"/>
      <c r="AU52" s="188"/>
      <c r="AV52" s="188"/>
      <c r="AW52" s="188"/>
      <c r="AX52" s="188"/>
      <c r="AY52" s="188"/>
      <c r="AZ52" s="188"/>
      <c r="BA52" s="188"/>
      <c r="BB52" s="188"/>
      <c r="BC52" s="188"/>
      <c r="BD52" s="188"/>
      <c r="BE52" s="188"/>
      <c r="BF52" s="188"/>
      <c r="BG52" s="188"/>
      <c r="BH52" s="188"/>
      <c r="BI52" s="188"/>
      <c r="BJ52" s="188"/>
      <c r="BK52" s="188"/>
      <c r="BL52" s="188"/>
      <c r="BM52" s="188"/>
      <c r="BN52" s="188"/>
      <c r="BO52" s="188"/>
      <c r="BP52" s="188"/>
    </row>
    <row r="53" spans="2:68" x14ac:dyDescent="0.15">
      <c r="B53" s="141">
        <v>41578</v>
      </c>
      <c r="C53" s="141" t="s">
        <v>334</v>
      </c>
      <c r="D53" s="141" t="s">
        <v>249</v>
      </c>
      <c r="E53" s="141" t="s">
        <v>250</v>
      </c>
      <c r="F53" s="141" t="s">
        <v>174</v>
      </c>
      <c r="G53" s="141" t="s">
        <v>174</v>
      </c>
      <c r="H53" s="141">
        <v>18</v>
      </c>
      <c r="I53" s="172"/>
      <c r="J53" s="141"/>
      <c r="K53" s="173"/>
      <c r="L53" s="173"/>
      <c r="M53" s="173"/>
      <c r="N53" s="173"/>
      <c r="O53" s="173"/>
      <c r="P53" s="173"/>
      <c r="Q53" s="173"/>
      <c r="R53" s="173"/>
      <c r="S53" s="173"/>
      <c r="T53" s="173"/>
      <c r="U53" s="173"/>
      <c r="V53" s="173"/>
      <c r="W53" s="173"/>
      <c r="X53" s="173"/>
      <c r="Y53" s="173"/>
      <c r="Z53" s="173"/>
      <c r="AA53" s="173"/>
      <c r="AB53" s="173"/>
      <c r="AC53" s="173"/>
      <c r="AD53" s="173"/>
      <c r="AE53" s="173"/>
      <c r="AF53" s="173"/>
      <c r="AG53" s="173"/>
      <c r="AH53" s="173"/>
      <c r="AI53" s="173"/>
      <c r="AJ53" s="173"/>
      <c r="AK53" s="173"/>
      <c r="AL53" s="141"/>
      <c r="AM53" s="188"/>
      <c r="AN53" s="188"/>
      <c r="AO53" s="188"/>
      <c r="AP53" s="188"/>
      <c r="AQ53" s="188"/>
      <c r="AR53" s="188"/>
      <c r="AS53" s="188"/>
      <c r="AT53" s="188"/>
      <c r="AU53" s="188"/>
      <c r="AV53" s="188"/>
      <c r="AW53" s="188"/>
      <c r="AX53" s="188"/>
      <c r="AY53" s="188"/>
      <c r="AZ53" s="188"/>
      <c r="BA53" s="188"/>
      <c r="BB53" s="188"/>
      <c r="BC53" s="188"/>
      <c r="BD53" s="188"/>
      <c r="BE53" s="188"/>
      <c r="BF53" s="188"/>
      <c r="BG53" s="188"/>
      <c r="BH53" s="188"/>
      <c r="BI53" s="188"/>
      <c r="BJ53" s="188"/>
      <c r="BK53" s="188"/>
      <c r="BL53" s="188"/>
      <c r="BM53" s="188"/>
      <c r="BN53" s="188"/>
      <c r="BO53" s="188"/>
      <c r="BP53" s="188"/>
    </row>
    <row r="54" spans="2:68" x14ac:dyDescent="0.15">
      <c r="B54" s="170">
        <v>11927</v>
      </c>
      <c r="C54" s="170" t="s">
        <v>335</v>
      </c>
      <c r="D54" s="170" t="s">
        <v>249</v>
      </c>
      <c r="E54" s="170" t="s">
        <v>250</v>
      </c>
      <c r="F54" s="170" t="s">
        <v>336</v>
      </c>
      <c r="G54" s="170" t="s">
        <v>287</v>
      </c>
      <c r="H54" s="170">
        <v>46</v>
      </c>
      <c r="I54" s="169"/>
      <c r="J54" s="170" t="s">
        <v>83</v>
      </c>
      <c r="K54" s="171" t="s">
        <v>83</v>
      </c>
      <c r="L54" s="171" t="s">
        <v>83</v>
      </c>
      <c r="M54" s="171" t="s">
        <v>83</v>
      </c>
      <c r="N54" s="171" t="s">
        <v>83</v>
      </c>
      <c r="O54" s="171" t="s">
        <v>83</v>
      </c>
      <c r="P54" s="171" t="s">
        <v>83</v>
      </c>
      <c r="Q54" s="171" t="s">
        <v>83</v>
      </c>
      <c r="R54" s="171" t="s">
        <v>83</v>
      </c>
      <c r="S54" s="171" t="s">
        <v>83</v>
      </c>
      <c r="T54" s="171" t="s">
        <v>83</v>
      </c>
      <c r="U54" s="171" t="s">
        <v>83</v>
      </c>
      <c r="V54" s="171" t="s">
        <v>83</v>
      </c>
      <c r="W54" s="171" t="s">
        <v>83</v>
      </c>
      <c r="X54" s="171" t="s">
        <v>83</v>
      </c>
      <c r="Y54" s="171" t="s">
        <v>83</v>
      </c>
      <c r="Z54" s="171" t="s">
        <v>83</v>
      </c>
      <c r="AA54" s="171" t="s">
        <v>83</v>
      </c>
      <c r="AB54" s="171" t="s">
        <v>83</v>
      </c>
      <c r="AC54" s="171" t="s">
        <v>83</v>
      </c>
      <c r="AD54" s="171" t="s">
        <v>83</v>
      </c>
      <c r="AE54" s="171" t="s">
        <v>83</v>
      </c>
      <c r="AF54" s="171" t="s">
        <v>83</v>
      </c>
      <c r="AG54" s="171" t="s">
        <v>83</v>
      </c>
      <c r="AH54" s="171" t="s">
        <v>83</v>
      </c>
      <c r="AI54" s="171" t="s">
        <v>83</v>
      </c>
      <c r="AJ54" s="171" t="s">
        <v>83</v>
      </c>
      <c r="AK54" s="171" t="s">
        <v>83</v>
      </c>
      <c r="AL54" s="141"/>
      <c r="AM54" s="188"/>
      <c r="AN54" s="188"/>
      <c r="AO54" s="188"/>
      <c r="AP54" s="188"/>
      <c r="AQ54" s="188"/>
      <c r="AR54" s="188"/>
      <c r="AS54" s="188"/>
      <c r="AT54" s="188"/>
      <c r="AU54" s="188"/>
      <c r="AV54" s="188"/>
      <c r="AW54" s="188"/>
      <c r="AX54" s="188"/>
      <c r="AY54" s="188"/>
      <c r="AZ54" s="188"/>
      <c r="BA54" s="188"/>
      <c r="BB54" s="188"/>
      <c r="BC54" s="188"/>
      <c r="BD54" s="188"/>
      <c r="BE54" s="188"/>
      <c r="BF54" s="188"/>
      <c r="BG54" s="188"/>
      <c r="BH54" s="188"/>
      <c r="BI54" s="188"/>
      <c r="BJ54" s="188"/>
      <c r="BK54" s="188"/>
      <c r="BL54" s="188"/>
      <c r="BM54" s="188"/>
      <c r="BN54" s="188"/>
      <c r="BO54" s="188"/>
      <c r="BP54" s="188"/>
    </row>
    <row r="55" spans="2:68" x14ac:dyDescent="0.15">
      <c r="B55" s="141">
        <v>68343</v>
      </c>
      <c r="C55" s="141" t="s">
        <v>337</v>
      </c>
      <c r="D55" s="141" t="s">
        <v>249</v>
      </c>
      <c r="E55" s="141" t="s">
        <v>338</v>
      </c>
      <c r="F55" s="141" t="s">
        <v>339</v>
      </c>
      <c r="G55" s="141" t="s">
        <v>340</v>
      </c>
      <c r="H55" s="141">
        <v>12</v>
      </c>
      <c r="I55" s="172"/>
      <c r="J55" s="141" t="s">
        <v>83</v>
      </c>
      <c r="K55" s="173" t="s">
        <v>83</v>
      </c>
      <c r="L55" s="173" t="s">
        <v>83</v>
      </c>
      <c r="M55" s="173" t="s">
        <v>83</v>
      </c>
      <c r="N55" s="173" t="s">
        <v>83</v>
      </c>
      <c r="O55" s="173" t="s">
        <v>83</v>
      </c>
      <c r="P55" s="173" t="s">
        <v>83</v>
      </c>
      <c r="Q55" s="173" t="s">
        <v>83</v>
      </c>
      <c r="R55" s="173" t="s">
        <v>83</v>
      </c>
      <c r="S55" s="173" t="s">
        <v>83</v>
      </c>
      <c r="T55" s="173" t="s">
        <v>83</v>
      </c>
      <c r="U55" s="173" t="s">
        <v>83</v>
      </c>
      <c r="V55" s="173" t="s">
        <v>83</v>
      </c>
      <c r="W55" s="173" t="s">
        <v>83</v>
      </c>
      <c r="X55" s="173" t="s">
        <v>83</v>
      </c>
      <c r="Y55" s="173" t="s">
        <v>83</v>
      </c>
      <c r="Z55" s="173" t="s">
        <v>83</v>
      </c>
      <c r="AA55" s="173" t="s">
        <v>83</v>
      </c>
      <c r="AB55" s="173" t="s">
        <v>83</v>
      </c>
      <c r="AC55" s="173" t="s">
        <v>83</v>
      </c>
      <c r="AD55" s="173" t="s">
        <v>83</v>
      </c>
      <c r="AE55" s="173" t="s">
        <v>83</v>
      </c>
      <c r="AF55" s="173" t="s">
        <v>83</v>
      </c>
      <c r="AG55" s="173" t="s">
        <v>83</v>
      </c>
      <c r="AH55" s="173" t="s">
        <v>83</v>
      </c>
      <c r="AI55" s="173" t="s">
        <v>83</v>
      </c>
      <c r="AJ55" s="173" t="s">
        <v>83</v>
      </c>
      <c r="AK55" s="173" t="s">
        <v>83</v>
      </c>
      <c r="AL55" s="141"/>
      <c r="AM55" s="188"/>
      <c r="AN55" s="188"/>
      <c r="AO55" s="188"/>
      <c r="AP55" s="188"/>
      <c r="AQ55" s="188"/>
      <c r="AR55" s="188"/>
      <c r="AS55" s="188"/>
      <c r="AT55" s="188"/>
      <c r="AU55" s="188"/>
      <c r="AV55" s="188"/>
      <c r="AW55" s="188"/>
      <c r="AX55" s="188"/>
      <c r="AY55" s="188"/>
      <c r="AZ55" s="188"/>
      <c r="BA55" s="188"/>
      <c r="BB55" s="188"/>
      <c r="BC55" s="188"/>
      <c r="BD55" s="188"/>
      <c r="BE55" s="188"/>
      <c r="BF55" s="188"/>
      <c r="BG55" s="188"/>
      <c r="BH55" s="188"/>
      <c r="BI55" s="188"/>
      <c r="BJ55" s="188"/>
      <c r="BK55" s="188"/>
      <c r="BL55" s="188"/>
      <c r="BM55" s="188"/>
      <c r="BN55" s="188"/>
      <c r="BO55" s="188"/>
      <c r="BP55" s="188"/>
    </row>
    <row r="56" spans="2:68" x14ac:dyDescent="0.15">
      <c r="B56" s="170">
        <v>11919</v>
      </c>
      <c r="C56" s="170" t="s">
        <v>341</v>
      </c>
      <c r="D56" s="170" t="s">
        <v>249</v>
      </c>
      <c r="E56" s="170" t="s">
        <v>338</v>
      </c>
      <c r="F56" s="170" t="s">
        <v>342</v>
      </c>
      <c r="G56" s="170" t="s">
        <v>342</v>
      </c>
      <c r="H56" s="170">
        <v>41</v>
      </c>
      <c r="I56" s="169"/>
      <c r="J56" s="170"/>
      <c r="K56" s="171"/>
      <c r="L56" s="171"/>
      <c r="M56" s="171"/>
      <c r="N56" s="171"/>
      <c r="O56" s="171"/>
      <c r="P56" s="171"/>
      <c r="Q56" s="171"/>
      <c r="R56" s="171"/>
      <c r="S56" s="171"/>
      <c r="T56" s="171"/>
      <c r="U56" s="171"/>
      <c r="V56" s="171"/>
      <c r="W56" s="171"/>
      <c r="X56" s="171"/>
      <c r="Y56" s="171"/>
      <c r="Z56" s="171"/>
      <c r="AA56" s="171"/>
      <c r="AB56" s="171"/>
      <c r="AC56" s="171"/>
      <c r="AD56" s="171"/>
      <c r="AE56" s="171"/>
      <c r="AF56" s="171"/>
      <c r="AG56" s="171"/>
      <c r="AH56" s="171"/>
      <c r="AI56" s="171"/>
      <c r="AJ56" s="171"/>
      <c r="AK56" s="171"/>
      <c r="AL56" s="141"/>
      <c r="AM56" s="188"/>
      <c r="AN56" s="188"/>
      <c r="AO56" s="188"/>
      <c r="AP56" s="188"/>
      <c r="AQ56" s="188"/>
      <c r="AR56" s="188"/>
      <c r="AS56" s="188"/>
      <c r="AT56" s="188"/>
      <c r="AU56" s="188"/>
      <c r="AV56" s="188"/>
      <c r="AW56" s="188"/>
      <c r="AX56" s="188"/>
      <c r="AY56" s="188"/>
      <c r="AZ56" s="188"/>
      <c r="BA56" s="188"/>
      <c r="BB56" s="188"/>
      <c r="BC56" s="188"/>
      <c r="BD56" s="188"/>
      <c r="BE56" s="188"/>
      <c r="BF56" s="188"/>
      <c r="BG56" s="188"/>
      <c r="BH56" s="188"/>
      <c r="BI56" s="188"/>
      <c r="BJ56" s="188"/>
      <c r="BK56" s="188"/>
      <c r="BL56" s="188"/>
      <c r="BM56" s="188"/>
      <c r="BN56" s="188"/>
      <c r="BO56" s="188"/>
      <c r="BP56" s="188"/>
    </row>
    <row r="57" spans="2:68" x14ac:dyDescent="0.15">
      <c r="B57" s="141">
        <v>11929</v>
      </c>
      <c r="C57" s="141" t="s">
        <v>343</v>
      </c>
      <c r="D57" s="141" t="s">
        <v>249</v>
      </c>
      <c r="E57" s="141" t="s">
        <v>338</v>
      </c>
      <c r="F57" s="141" t="s">
        <v>192</v>
      </c>
      <c r="G57" s="141"/>
      <c r="H57" s="141">
        <v>0</v>
      </c>
      <c r="I57" s="172"/>
      <c r="J57" s="141"/>
      <c r="K57" s="173"/>
      <c r="L57" s="173"/>
      <c r="M57" s="173"/>
      <c r="N57" s="173"/>
      <c r="O57" s="173"/>
      <c r="P57" s="173"/>
      <c r="Q57" s="173"/>
      <c r="R57" s="173"/>
      <c r="S57" s="173"/>
      <c r="T57" s="173"/>
      <c r="U57" s="173"/>
      <c r="V57" s="173"/>
      <c r="W57" s="173"/>
      <c r="X57" s="173"/>
      <c r="Y57" s="173"/>
      <c r="Z57" s="173"/>
      <c r="AA57" s="173"/>
      <c r="AB57" s="173"/>
      <c r="AC57" s="173"/>
      <c r="AD57" s="173"/>
      <c r="AE57" s="173"/>
      <c r="AF57" s="173"/>
      <c r="AG57" s="173"/>
      <c r="AH57" s="173"/>
      <c r="AI57" s="173"/>
      <c r="AJ57" s="173"/>
      <c r="AK57" s="173"/>
      <c r="AL57" s="141"/>
      <c r="AM57" s="188"/>
      <c r="AN57" s="188"/>
      <c r="AO57" s="188"/>
      <c r="AP57" s="188"/>
      <c r="AQ57" s="188"/>
      <c r="AR57" s="188"/>
      <c r="AS57" s="188"/>
      <c r="AT57" s="188"/>
      <c r="AU57" s="188"/>
      <c r="AV57" s="188"/>
      <c r="AW57" s="188"/>
      <c r="AX57" s="188"/>
      <c r="AY57" s="188"/>
      <c r="AZ57" s="188"/>
      <c r="BA57" s="188"/>
      <c r="BB57" s="188"/>
      <c r="BC57" s="188"/>
      <c r="BD57" s="188"/>
      <c r="BE57" s="188"/>
      <c r="BF57" s="188"/>
      <c r="BG57" s="188"/>
      <c r="BH57" s="188"/>
      <c r="BI57" s="188"/>
      <c r="BJ57" s="188"/>
      <c r="BK57" s="188"/>
      <c r="BL57" s="188"/>
      <c r="BM57" s="188"/>
      <c r="BN57" s="188"/>
      <c r="BO57" s="188"/>
      <c r="BP57" s="188"/>
    </row>
    <row r="58" spans="2:68" x14ac:dyDescent="0.15">
      <c r="B58" s="170">
        <v>11928</v>
      </c>
      <c r="C58" s="170" t="s">
        <v>344</v>
      </c>
      <c r="D58" s="170" t="s">
        <v>249</v>
      </c>
      <c r="E58" s="170" t="s">
        <v>338</v>
      </c>
      <c r="F58" s="170" t="s">
        <v>345</v>
      </c>
      <c r="G58" s="170" t="s">
        <v>346</v>
      </c>
      <c r="H58" s="170">
        <v>90</v>
      </c>
      <c r="I58" s="169" t="s">
        <v>87</v>
      </c>
      <c r="J58" s="170" t="s">
        <v>83</v>
      </c>
      <c r="K58" s="171" t="s">
        <v>83</v>
      </c>
      <c r="L58" s="171" t="s">
        <v>83</v>
      </c>
      <c r="M58" s="171" t="s">
        <v>83</v>
      </c>
      <c r="N58" s="171" t="s">
        <v>83</v>
      </c>
      <c r="O58" s="171" t="s">
        <v>83</v>
      </c>
      <c r="P58" s="171" t="s">
        <v>83</v>
      </c>
      <c r="Q58" s="171" t="s">
        <v>83</v>
      </c>
      <c r="R58" s="171" t="s">
        <v>83</v>
      </c>
      <c r="S58" s="171" t="s">
        <v>83</v>
      </c>
      <c r="T58" s="171" t="s">
        <v>83</v>
      </c>
      <c r="U58" s="171" t="s">
        <v>83</v>
      </c>
      <c r="V58" s="171" t="s">
        <v>83</v>
      </c>
      <c r="W58" s="171" t="s">
        <v>83</v>
      </c>
      <c r="X58" s="171" t="s">
        <v>83</v>
      </c>
      <c r="Y58" s="171" t="s">
        <v>83</v>
      </c>
      <c r="Z58" s="171" t="s">
        <v>83</v>
      </c>
      <c r="AA58" s="171" t="s">
        <v>83</v>
      </c>
      <c r="AB58" s="171" t="s">
        <v>83</v>
      </c>
      <c r="AC58" s="171" t="s">
        <v>83</v>
      </c>
      <c r="AD58" s="171" t="s">
        <v>83</v>
      </c>
      <c r="AE58" s="171" t="s">
        <v>83</v>
      </c>
      <c r="AF58" s="171" t="s">
        <v>83</v>
      </c>
      <c r="AG58" s="171" t="s">
        <v>83</v>
      </c>
      <c r="AH58" s="171" t="s">
        <v>83</v>
      </c>
      <c r="AI58" s="171" t="s">
        <v>83</v>
      </c>
      <c r="AJ58" s="171" t="s">
        <v>83</v>
      </c>
      <c r="AK58" s="171" t="s">
        <v>83</v>
      </c>
      <c r="AL58" s="141"/>
      <c r="AM58" s="188"/>
      <c r="AN58" s="188"/>
      <c r="AO58" s="188"/>
      <c r="AP58" s="188"/>
      <c r="AQ58" s="188"/>
      <c r="AR58" s="188"/>
      <c r="AS58" s="188"/>
      <c r="AT58" s="188"/>
      <c r="AU58" s="188"/>
      <c r="AV58" s="188"/>
      <c r="AW58" s="188"/>
      <c r="AX58" s="188"/>
      <c r="AY58" s="188"/>
      <c r="AZ58" s="188"/>
      <c r="BA58" s="188"/>
      <c r="BB58" s="188"/>
      <c r="BC58" s="188"/>
      <c r="BD58" s="188"/>
      <c r="BE58" s="188"/>
      <c r="BF58" s="188"/>
      <c r="BG58" s="188"/>
      <c r="BH58" s="188"/>
      <c r="BI58" s="188"/>
      <c r="BJ58" s="188"/>
      <c r="BK58" s="188"/>
      <c r="BL58" s="188"/>
      <c r="BM58" s="188"/>
      <c r="BN58" s="188"/>
      <c r="BO58" s="188"/>
      <c r="BP58" s="188"/>
    </row>
    <row r="59" spans="2:68" x14ac:dyDescent="0.15">
      <c r="B59" s="141">
        <v>23876</v>
      </c>
      <c r="C59" s="141" t="s">
        <v>347</v>
      </c>
      <c r="D59" s="141" t="s">
        <v>249</v>
      </c>
      <c r="E59" s="141" t="s">
        <v>338</v>
      </c>
      <c r="F59" s="141" t="s">
        <v>170</v>
      </c>
      <c r="G59" s="141" t="s">
        <v>348</v>
      </c>
      <c r="H59" s="141">
        <v>360</v>
      </c>
      <c r="I59" s="172"/>
      <c r="J59" s="141" t="s">
        <v>83</v>
      </c>
      <c r="K59" s="173" t="s">
        <v>83</v>
      </c>
      <c r="L59" s="173" t="s">
        <v>83</v>
      </c>
      <c r="M59" s="173" t="s">
        <v>83</v>
      </c>
      <c r="N59" s="173" t="s">
        <v>83</v>
      </c>
      <c r="O59" s="173" t="s">
        <v>83</v>
      </c>
      <c r="P59" s="173" t="s">
        <v>83</v>
      </c>
      <c r="Q59" s="173" t="s">
        <v>83</v>
      </c>
      <c r="R59" s="173" t="s">
        <v>83</v>
      </c>
      <c r="S59" s="173" t="s">
        <v>83</v>
      </c>
      <c r="T59" s="173" t="s">
        <v>83</v>
      </c>
      <c r="U59" s="173" t="s">
        <v>83</v>
      </c>
      <c r="V59" s="173" t="s">
        <v>83</v>
      </c>
      <c r="W59" s="173" t="s">
        <v>83</v>
      </c>
      <c r="X59" s="173" t="s">
        <v>83</v>
      </c>
      <c r="Y59" s="173" t="s">
        <v>83</v>
      </c>
      <c r="Z59" s="173" t="s">
        <v>83</v>
      </c>
      <c r="AA59" s="173" t="s">
        <v>83</v>
      </c>
      <c r="AB59" s="173" t="s">
        <v>83</v>
      </c>
      <c r="AC59" s="173" t="s">
        <v>83</v>
      </c>
      <c r="AD59" s="173" t="s">
        <v>83</v>
      </c>
      <c r="AE59" s="173" t="s">
        <v>83</v>
      </c>
      <c r="AF59" s="173" t="s">
        <v>83</v>
      </c>
      <c r="AG59" s="173" t="s">
        <v>83</v>
      </c>
      <c r="AH59" s="173" t="s">
        <v>83</v>
      </c>
      <c r="AI59" s="173" t="s">
        <v>83</v>
      </c>
      <c r="AJ59" s="173" t="s">
        <v>83</v>
      </c>
      <c r="AK59" s="173" t="s">
        <v>83</v>
      </c>
      <c r="AL59" s="141"/>
      <c r="AM59" s="188"/>
      <c r="AN59" s="188"/>
      <c r="AO59" s="188"/>
      <c r="AP59" s="188"/>
      <c r="AQ59" s="188"/>
      <c r="AR59" s="188"/>
      <c r="AS59" s="188"/>
      <c r="AT59" s="188"/>
      <c r="AU59" s="188"/>
      <c r="AV59" s="188"/>
      <c r="AW59" s="188"/>
      <c r="AX59" s="188"/>
      <c r="AY59" s="188"/>
      <c r="AZ59" s="188"/>
      <c r="BA59" s="188"/>
      <c r="BB59" s="188"/>
      <c r="BC59" s="188"/>
      <c r="BD59" s="188"/>
      <c r="BE59" s="188"/>
      <c r="BF59" s="188"/>
      <c r="BG59" s="188"/>
      <c r="BH59" s="188"/>
      <c r="BI59" s="188"/>
      <c r="BJ59" s="188"/>
      <c r="BK59" s="188"/>
      <c r="BL59" s="188"/>
      <c r="BM59" s="188"/>
      <c r="BN59" s="188"/>
      <c r="BO59" s="188"/>
      <c r="BP59" s="188"/>
    </row>
    <row r="60" spans="2:68" x14ac:dyDescent="0.15">
      <c r="B60" s="170">
        <v>10644</v>
      </c>
      <c r="C60" s="170" t="s">
        <v>349</v>
      </c>
      <c r="D60" s="170" t="s">
        <v>249</v>
      </c>
      <c r="E60" s="170" t="s">
        <v>338</v>
      </c>
      <c r="F60" s="170" t="s">
        <v>100</v>
      </c>
      <c r="G60" s="170" t="s">
        <v>100</v>
      </c>
      <c r="H60" s="170">
        <v>33</v>
      </c>
      <c r="I60" s="169"/>
      <c r="J60" s="170"/>
      <c r="K60" s="171"/>
      <c r="L60" s="171"/>
      <c r="M60" s="171"/>
      <c r="N60" s="171"/>
      <c r="O60" s="171"/>
      <c r="P60" s="171"/>
      <c r="Q60" s="171"/>
      <c r="R60" s="171"/>
      <c r="S60" s="171"/>
      <c r="T60" s="171"/>
      <c r="U60" s="171"/>
      <c r="V60" s="171"/>
      <c r="W60" s="171"/>
      <c r="X60" s="171"/>
      <c r="Y60" s="171"/>
      <c r="Z60" s="171"/>
      <c r="AA60" s="171"/>
      <c r="AB60" s="171"/>
      <c r="AC60" s="171"/>
      <c r="AD60" s="171"/>
      <c r="AE60" s="171"/>
      <c r="AF60" s="171"/>
      <c r="AG60" s="171"/>
      <c r="AH60" s="171"/>
      <c r="AI60" s="171"/>
      <c r="AJ60" s="171"/>
      <c r="AK60" s="171"/>
      <c r="AL60" s="141"/>
      <c r="AM60" s="188"/>
      <c r="AN60" s="188"/>
      <c r="AO60" s="188"/>
      <c r="AP60" s="188"/>
      <c r="AQ60" s="188"/>
      <c r="AR60" s="188"/>
      <c r="AS60" s="188"/>
      <c r="AT60" s="188"/>
      <c r="AU60" s="188"/>
      <c r="AV60" s="188"/>
      <c r="AW60" s="188"/>
      <c r="AX60" s="188"/>
      <c r="AY60" s="188"/>
      <c r="AZ60" s="188"/>
      <c r="BA60" s="188"/>
      <c r="BB60" s="188"/>
      <c r="BC60" s="188"/>
      <c r="BD60" s="188"/>
      <c r="BE60" s="188"/>
      <c r="BF60" s="188"/>
      <c r="BG60" s="188"/>
      <c r="BH60" s="188"/>
      <c r="BI60" s="188"/>
      <c r="BJ60" s="188"/>
      <c r="BK60" s="188"/>
      <c r="BL60" s="188"/>
      <c r="BM60" s="188"/>
      <c r="BN60" s="188"/>
      <c r="BO60" s="188"/>
      <c r="BP60" s="188"/>
    </row>
    <row r="61" spans="2:68" x14ac:dyDescent="0.15">
      <c r="B61" s="141">
        <v>1319</v>
      </c>
      <c r="C61" s="141" t="s">
        <v>350</v>
      </c>
      <c r="D61" s="141" t="s">
        <v>249</v>
      </c>
      <c r="E61" s="141" t="s">
        <v>338</v>
      </c>
      <c r="F61" s="141" t="s">
        <v>112</v>
      </c>
      <c r="G61" s="141" t="s">
        <v>328</v>
      </c>
      <c r="H61" s="141">
        <v>200</v>
      </c>
      <c r="I61" s="172"/>
      <c r="J61" s="141" t="s">
        <v>83</v>
      </c>
      <c r="K61" s="173" t="s">
        <v>83</v>
      </c>
      <c r="L61" s="173" t="s">
        <v>83</v>
      </c>
      <c r="M61" s="173" t="s">
        <v>83</v>
      </c>
      <c r="N61" s="173" t="s">
        <v>83</v>
      </c>
      <c r="O61" s="173" t="s">
        <v>83</v>
      </c>
      <c r="P61" s="173" t="s">
        <v>83</v>
      </c>
      <c r="Q61" s="173" t="s">
        <v>83</v>
      </c>
      <c r="R61" s="173" t="s">
        <v>83</v>
      </c>
      <c r="S61" s="173" t="s">
        <v>83</v>
      </c>
      <c r="T61" s="173" t="s">
        <v>83</v>
      </c>
      <c r="U61" s="173" t="s">
        <v>83</v>
      </c>
      <c r="V61" s="173" t="s">
        <v>83</v>
      </c>
      <c r="W61" s="173" t="s">
        <v>83</v>
      </c>
      <c r="X61" s="173" t="s">
        <v>83</v>
      </c>
      <c r="Y61" s="173" t="s">
        <v>83</v>
      </c>
      <c r="Z61" s="173" t="s">
        <v>83</v>
      </c>
      <c r="AA61" s="173" t="s">
        <v>83</v>
      </c>
      <c r="AB61" s="173" t="s">
        <v>83</v>
      </c>
      <c r="AC61" s="173" t="s">
        <v>83</v>
      </c>
      <c r="AD61" s="173" t="s">
        <v>83</v>
      </c>
      <c r="AE61" s="173" t="s">
        <v>83</v>
      </c>
      <c r="AF61" s="173" t="s">
        <v>83</v>
      </c>
      <c r="AG61" s="173" t="s">
        <v>83</v>
      </c>
      <c r="AH61" s="173" t="s">
        <v>83</v>
      </c>
      <c r="AI61" s="173" t="s">
        <v>83</v>
      </c>
      <c r="AJ61" s="173" t="s">
        <v>83</v>
      </c>
      <c r="AK61" s="173" t="s">
        <v>83</v>
      </c>
      <c r="AL61" s="141"/>
      <c r="AM61" s="188"/>
      <c r="AN61" s="188"/>
      <c r="AO61" s="188"/>
      <c r="AP61" s="188"/>
      <c r="AQ61" s="188"/>
      <c r="AR61" s="188"/>
      <c r="AS61" s="188"/>
      <c r="AT61" s="188"/>
      <c r="AU61" s="188"/>
      <c r="AV61" s="188"/>
      <c r="AW61" s="188"/>
      <c r="AX61" s="188"/>
      <c r="AY61" s="188"/>
      <c r="AZ61" s="188"/>
      <c r="BA61" s="188"/>
      <c r="BB61" s="188"/>
      <c r="BC61" s="188"/>
      <c r="BD61" s="188"/>
      <c r="BE61" s="188"/>
      <c r="BF61" s="188"/>
      <c r="BG61" s="188"/>
      <c r="BH61" s="188"/>
      <c r="BI61" s="188"/>
      <c r="BJ61" s="188"/>
      <c r="BK61" s="188"/>
      <c r="BL61" s="188"/>
      <c r="BM61" s="188"/>
      <c r="BN61" s="188"/>
      <c r="BO61" s="188"/>
      <c r="BP61" s="188"/>
    </row>
    <row r="62" spans="2:68" x14ac:dyDescent="0.15">
      <c r="B62" s="170">
        <v>6335</v>
      </c>
      <c r="C62" s="170" t="s">
        <v>351</v>
      </c>
      <c r="D62" s="170" t="s">
        <v>249</v>
      </c>
      <c r="E62" s="170" t="s">
        <v>338</v>
      </c>
      <c r="F62" s="170" t="s">
        <v>258</v>
      </c>
      <c r="G62" s="170" t="s">
        <v>258</v>
      </c>
      <c r="H62" s="170">
        <v>52</v>
      </c>
      <c r="I62" s="169"/>
      <c r="J62" s="170" t="s">
        <v>83</v>
      </c>
      <c r="K62" s="171" t="s">
        <v>83</v>
      </c>
      <c r="L62" s="171" t="s">
        <v>83</v>
      </c>
      <c r="M62" s="171" t="s">
        <v>83</v>
      </c>
      <c r="N62" s="171" t="s">
        <v>83</v>
      </c>
      <c r="O62" s="171" t="s">
        <v>83</v>
      </c>
      <c r="P62" s="171" t="s">
        <v>83</v>
      </c>
      <c r="Q62" s="171" t="s">
        <v>83</v>
      </c>
      <c r="R62" s="171" t="s">
        <v>83</v>
      </c>
      <c r="S62" s="171" t="s">
        <v>83</v>
      </c>
      <c r="T62" s="171" t="s">
        <v>83</v>
      </c>
      <c r="U62" s="171" t="s">
        <v>83</v>
      </c>
      <c r="V62" s="171" t="s">
        <v>83</v>
      </c>
      <c r="W62" s="171" t="s">
        <v>83</v>
      </c>
      <c r="X62" s="171" t="s">
        <v>83</v>
      </c>
      <c r="Y62" s="171" t="s">
        <v>83</v>
      </c>
      <c r="Z62" s="171" t="s">
        <v>83</v>
      </c>
      <c r="AA62" s="171" t="s">
        <v>83</v>
      </c>
      <c r="AB62" s="171" t="s">
        <v>83</v>
      </c>
      <c r="AC62" s="171" t="s">
        <v>83</v>
      </c>
      <c r="AD62" s="171" t="s">
        <v>83</v>
      </c>
      <c r="AE62" s="171" t="s">
        <v>83</v>
      </c>
      <c r="AF62" s="171" t="s">
        <v>83</v>
      </c>
      <c r="AG62" s="171" t="s">
        <v>83</v>
      </c>
      <c r="AH62" s="171" t="s">
        <v>83</v>
      </c>
      <c r="AI62" s="171" t="s">
        <v>83</v>
      </c>
      <c r="AJ62" s="171" t="s">
        <v>83</v>
      </c>
      <c r="AK62" s="171" t="s">
        <v>83</v>
      </c>
      <c r="AL62" s="141"/>
      <c r="AM62" s="188"/>
      <c r="AN62" s="188"/>
      <c r="AO62" s="188"/>
      <c r="AP62" s="188"/>
      <c r="AQ62" s="188"/>
      <c r="AR62" s="188"/>
      <c r="AS62" s="188"/>
      <c r="AT62" s="188"/>
      <c r="AU62" s="188"/>
      <c r="AV62" s="188"/>
      <c r="AW62" s="188"/>
      <c r="AX62" s="188"/>
      <c r="AY62" s="188"/>
      <c r="AZ62" s="188"/>
      <c r="BA62" s="188"/>
      <c r="BB62" s="188"/>
      <c r="BC62" s="188"/>
      <c r="BD62" s="188"/>
      <c r="BE62" s="188"/>
      <c r="BF62" s="188"/>
      <c r="BG62" s="188"/>
      <c r="BH62" s="188"/>
      <c r="BI62" s="188"/>
      <c r="BJ62" s="188"/>
      <c r="BK62" s="188"/>
      <c r="BL62" s="188"/>
      <c r="BM62" s="188"/>
      <c r="BN62" s="188"/>
      <c r="BO62" s="188"/>
      <c r="BP62" s="188"/>
    </row>
    <row r="63" spans="2:68" x14ac:dyDescent="0.15">
      <c r="B63" s="141">
        <v>11921</v>
      </c>
      <c r="C63" s="141" t="s">
        <v>352</v>
      </c>
      <c r="D63" s="141" t="s">
        <v>249</v>
      </c>
      <c r="E63" s="141" t="s">
        <v>338</v>
      </c>
      <c r="F63" s="141" t="s">
        <v>107</v>
      </c>
      <c r="G63" s="141" t="s">
        <v>353</v>
      </c>
      <c r="H63" s="141">
        <v>26</v>
      </c>
      <c r="I63" s="172" t="s">
        <v>87</v>
      </c>
      <c r="J63" s="141" t="s">
        <v>83</v>
      </c>
      <c r="K63" s="173" t="s">
        <v>83</v>
      </c>
      <c r="L63" s="173" t="s">
        <v>83</v>
      </c>
      <c r="M63" s="173" t="s">
        <v>83</v>
      </c>
      <c r="N63" s="173" t="s">
        <v>83</v>
      </c>
      <c r="O63" s="173" t="s">
        <v>83</v>
      </c>
      <c r="P63" s="173" t="s">
        <v>83</v>
      </c>
      <c r="Q63" s="173" t="s">
        <v>83</v>
      </c>
      <c r="R63" s="173" t="s">
        <v>83</v>
      </c>
      <c r="S63" s="173" t="s">
        <v>83</v>
      </c>
      <c r="T63" s="173" t="s">
        <v>83</v>
      </c>
      <c r="U63" s="173" t="s">
        <v>83</v>
      </c>
      <c r="V63" s="173" t="s">
        <v>83</v>
      </c>
      <c r="W63" s="173" t="s">
        <v>83</v>
      </c>
      <c r="X63" s="173" t="s">
        <v>83</v>
      </c>
      <c r="Y63" s="173" t="s">
        <v>83</v>
      </c>
      <c r="Z63" s="173" t="s">
        <v>83</v>
      </c>
      <c r="AA63" s="173" t="s">
        <v>83</v>
      </c>
      <c r="AB63" s="173" t="s">
        <v>83</v>
      </c>
      <c r="AC63" s="173" t="s">
        <v>83</v>
      </c>
      <c r="AD63" s="173" t="s">
        <v>83</v>
      </c>
      <c r="AE63" s="173" t="s">
        <v>83</v>
      </c>
      <c r="AF63" s="173" t="s">
        <v>83</v>
      </c>
      <c r="AG63" s="173" t="s">
        <v>83</v>
      </c>
      <c r="AH63" s="173" t="s">
        <v>83</v>
      </c>
      <c r="AI63" s="173" t="s">
        <v>83</v>
      </c>
      <c r="AJ63" s="173" t="s">
        <v>83</v>
      </c>
      <c r="AK63" s="173" t="s">
        <v>83</v>
      </c>
      <c r="AL63" s="141"/>
      <c r="AM63" s="188"/>
      <c r="AN63" s="188"/>
      <c r="AO63" s="188"/>
      <c r="AP63" s="188"/>
      <c r="AQ63" s="188"/>
      <c r="AR63" s="188"/>
      <c r="AS63" s="188"/>
      <c r="AT63" s="188"/>
      <c r="AU63" s="188"/>
      <c r="AV63" s="188"/>
      <c r="AW63" s="188"/>
      <c r="AX63" s="188"/>
      <c r="AY63" s="188"/>
      <c r="AZ63" s="188"/>
      <c r="BA63" s="188"/>
      <c r="BB63" s="188"/>
      <c r="BC63" s="188"/>
      <c r="BD63" s="188"/>
      <c r="BE63" s="188"/>
      <c r="BF63" s="188"/>
      <c r="BG63" s="188"/>
      <c r="BH63" s="188"/>
      <c r="BI63" s="188"/>
      <c r="BJ63" s="188"/>
      <c r="BK63" s="188"/>
      <c r="BL63" s="188"/>
      <c r="BM63" s="188"/>
      <c r="BN63" s="188"/>
      <c r="BO63" s="188"/>
      <c r="BP63" s="188"/>
    </row>
    <row r="64" spans="2:68" x14ac:dyDescent="0.15">
      <c r="B64" s="170">
        <v>11930</v>
      </c>
      <c r="C64" s="170" t="s">
        <v>354</v>
      </c>
      <c r="D64" s="170" t="s">
        <v>249</v>
      </c>
      <c r="E64" s="170" t="s">
        <v>338</v>
      </c>
      <c r="F64" s="170" t="s">
        <v>160</v>
      </c>
      <c r="G64" s="170" t="s">
        <v>280</v>
      </c>
      <c r="H64" s="170">
        <v>70</v>
      </c>
      <c r="I64" s="169"/>
      <c r="J64" s="170"/>
      <c r="K64" s="171"/>
      <c r="L64" s="171"/>
      <c r="M64" s="171"/>
      <c r="N64" s="171"/>
      <c r="O64" s="171"/>
      <c r="P64" s="171"/>
      <c r="Q64" s="171"/>
      <c r="R64" s="171"/>
      <c r="S64" s="171"/>
      <c r="T64" s="171"/>
      <c r="U64" s="171"/>
      <c r="V64" s="171"/>
      <c r="W64" s="171"/>
      <c r="X64" s="171"/>
      <c r="Y64" s="171"/>
      <c r="Z64" s="171"/>
      <c r="AA64" s="171"/>
      <c r="AB64" s="171"/>
      <c r="AC64" s="171"/>
      <c r="AD64" s="171"/>
      <c r="AE64" s="171"/>
      <c r="AF64" s="171"/>
      <c r="AG64" s="171"/>
      <c r="AH64" s="171"/>
      <c r="AI64" s="171"/>
      <c r="AJ64" s="171"/>
      <c r="AK64" s="171"/>
      <c r="AL64" s="141"/>
      <c r="AM64" s="188"/>
      <c r="AN64" s="188"/>
      <c r="AO64" s="188"/>
      <c r="AP64" s="188"/>
      <c r="AQ64" s="188"/>
      <c r="AR64" s="188"/>
      <c r="AS64" s="188"/>
      <c r="AT64" s="188"/>
      <c r="AU64" s="188"/>
      <c r="AV64" s="188"/>
      <c r="AW64" s="188"/>
      <c r="AX64" s="188"/>
      <c r="AY64" s="188"/>
      <c r="AZ64" s="188"/>
      <c r="BA64" s="188"/>
      <c r="BB64" s="188"/>
      <c r="BC64" s="188"/>
      <c r="BD64" s="188"/>
      <c r="BE64" s="188"/>
      <c r="BF64" s="188"/>
      <c r="BG64" s="188"/>
      <c r="BH64" s="188"/>
      <c r="BI64" s="188"/>
      <c r="BJ64" s="188"/>
      <c r="BK64" s="188"/>
      <c r="BL64" s="188"/>
      <c r="BM64" s="188"/>
      <c r="BN64" s="188"/>
      <c r="BO64" s="188"/>
      <c r="BP64" s="188"/>
    </row>
    <row r="65" spans="2:68" x14ac:dyDescent="0.15">
      <c r="B65" s="141">
        <v>83876</v>
      </c>
      <c r="C65" s="141" t="s">
        <v>355</v>
      </c>
      <c r="D65" s="141" t="s">
        <v>249</v>
      </c>
      <c r="E65" s="141" t="s">
        <v>338</v>
      </c>
      <c r="F65" s="141"/>
      <c r="G65" s="141" t="s">
        <v>356</v>
      </c>
      <c r="H65" s="141">
        <v>105</v>
      </c>
      <c r="I65" s="172"/>
      <c r="J65" s="141"/>
      <c r="K65" s="173"/>
      <c r="L65" s="173"/>
      <c r="M65" s="173"/>
      <c r="N65" s="173"/>
      <c r="O65" s="173"/>
      <c r="P65" s="173"/>
      <c r="Q65" s="173"/>
      <c r="R65" s="173"/>
      <c r="S65" s="173"/>
      <c r="T65" s="173"/>
      <c r="U65" s="173"/>
      <c r="V65" s="173"/>
      <c r="W65" s="173"/>
      <c r="X65" s="173"/>
      <c r="Y65" s="173"/>
      <c r="Z65" s="173"/>
      <c r="AA65" s="173"/>
      <c r="AB65" s="173"/>
      <c r="AC65" s="173"/>
      <c r="AD65" s="173"/>
      <c r="AE65" s="173"/>
      <c r="AF65" s="173"/>
      <c r="AG65" s="173"/>
      <c r="AH65" s="173"/>
      <c r="AI65" s="173"/>
      <c r="AJ65" s="173"/>
      <c r="AK65" s="173"/>
      <c r="AL65" s="141"/>
      <c r="AM65" s="188"/>
      <c r="AN65" s="188"/>
      <c r="AO65" s="188"/>
      <c r="AP65" s="188"/>
      <c r="AQ65" s="188"/>
      <c r="AR65" s="188"/>
      <c r="AS65" s="188"/>
      <c r="AT65" s="188"/>
      <c r="AU65" s="188"/>
      <c r="AV65" s="188"/>
      <c r="AW65" s="188"/>
      <c r="AX65" s="188"/>
      <c r="AY65" s="188"/>
      <c r="AZ65" s="188"/>
      <c r="BA65" s="188"/>
      <c r="BB65" s="188"/>
      <c r="BC65" s="188"/>
      <c r="BD65" s="188"/>
      <c r="BE65" s="188"/>
      <c r="BF65" s="188"/>
      <c r="BG65" s="188"/>
      <c r="BH65" s="188"/>
      <c r="BI65" s="188"/>
      <c r="BJ65" s="188"/>
      <c r="BK65" s="188"/>
      <c r="BL65" s="188"/>
      <c r="BM65" s="188"/>
      <c r="BN65" s="188"/>
      <c r="BO65" s="188"/>
      <c r="BP65" s="188"/>
    </row>
    <row r="66" spans="2:68" x14ac:dyDescent="0.15">
      <c r="B66" s="170">
        <v>68844</v>
      </c>
      <c r="C66" s="170" t="s">
        <v>357</v>
      </c>
      <c r="D66" s="170" t="s">
        <v>249</v>
      </c>
      <c r="E66" s="170" t="s">
        <v>358</v>
      </c>
      <c r="F66" s="170" t="s">
        <v>359</v>
      </c>
      <c r="G66" s="170" t="s">
        <v>359</v>
      </c>
      <c r="H66" s="170">
        <v>13</v>
      </c>
      <c r="I66" s="169"/>
      <c r="J66" s="170"/>
      <c r="K66" s="171"/>
      <c r="L66" s="171"/>
      <c r="M66" s="171"/>
      <c r="N66" s="171"/>
      <c r="O66" s="171"/>
      <c r="P66" s="171"/>
      <c r="Q66" s="171"/>
      <c r="R66" s="171"/>
      <c r="S66" s="171"/>
      <c r="T66" s="171"/>
      <c r="U66" s="171"/>
      <c r="V66" s="171"/>
      <c r="W66" s="171"/>
      <c r="X66" s="171"/>
      <c r="Y66" s="171"/>
      <c r="Z66" s="171"/>
      <c r="AA66" s="171"/>
      <c r="AB66" s="171"/>
      <c r="AC66" s="171"/>
      <c r="AD66" s="171"/>
      <c r="AE66" s="171"/>
      <c r="AF66" s="171"/>
      <c r="AG66" s="171"/>
      <c r="AH66" s="171"/>
      <c r="AI66" s="171"/>
      <c r="AJ66" s="171"/>
      <c r="AK66" s="171"/>
      <c r="AL66" s="141"/>
      <c r="AM66" s="188"/>
      <c r="AN66" s="188"/>
      <c r="AO66" s="188"/>
      <c r="AP66" s="188"/>
      <c r="AQ66" s="188"/>
      <c r="AR66" s="188"/>
      <c r="AS66" s="188"/>
      <c r="AT66" s="188"/>
      <c r="AU66" s="188"/>
      <c r="AV66" s="188"/>
      <c r="AW66" s="188"/>
      <c r="AX66" s="188"/>
      <c r="AY66" s="188"/>
      <c r="AZ66" s="188"/>
      <c r="BA66" s="188"/>
      <c r="BB66" s="188"/>
      <c r="BC66" s="188"/>
      <c r="BD66" s="188"/>
      <c r="BE66" s="188"/>
      <c r="BF66" s="188"/>
      <c r="BG66" s="188"/>
      <c r="BH66" s="188"/>
      <c r="BI66" s="188"/>
      <c r="BJ66" s="188"/>
      <c r="BK66" s="188"/>
      <c r="BL66" s="188"/>
      <c r="BM66" s="188"/>
      <c r="BN66" s="188"/>
      <c r="BO66" s="188"/>
      <c r="BP66" s="188"/>
    </row>
    <row r="67" spans="2:68" x14ac:dyDescent="0.15">
      <c r="B67" s="141">
        <v>2112</v>
      </c>
      <c r="C67" s="141" t="s">
        <v>360</v>
      </c>
      <c r="D67" s="141" t="s">
        <v>249</v>
      </c>
      <c r="E67" s="141" t="s">
        <v>358</v>
      </c>
      <c r="F67" s="141" t="s">
        <v>81</v>
      </c>
      <c r="G67" s="141" t="s">
        <v>216</v>
      </c>
      <c r="H67" s="141">
        <v>122</v>
      </c>
      <c r="I67" s="172"/>
      <c r="J67" s="141" t="s">
        <v>83</v>
      </c>
      <c r="K67" s="173" t="s">
        <v>83</v>
      </c>
      <c r="L67" s="173" t="s">
        <v>83</v>
      </c>
      <c r="M67" s="173" t="s">
        <v>83</v>
      </c>
      <c r="N67" s="173" t="s">
        <v>83</v>
      </c>
      <c r="O67" s="173" t="s">
        <v>83</v>
      </c>
      <c r="P67" s="173" t="s">
        <v>83</v>
      </c>
      <c r="Q67" s="173" t="s">
        <v>83</v>
      </c>
      <c r="R67" s="173" t="s">
        <v>83</v>
      </c>
      <c r="S67" s="173" t="s">
        <v>83</v>
      </c>
      <c r="T67" s="173" t="s">
        <v>83</v>
      </c>
      <c r="U67" s="173" t="s">
        <v>83</v>
      </c>
      <c r="V67" s="173" t="s">
        <v>83</v>
      </c>
      <c r="W67" s="173" t="s">
        <v>83</v>
      </c>
      <c r="X67" s="173" t="s">
        <v>83</v>
      </c>
      <c r="Y67" s="173" t="s">
        <v>83</v>
      </c>
      <c r="Z67" s="173" t="s">
        <v>83</v>
      </c>
      <c r="AA67" s="173" t="s">
        <v>83</v>
      </c>
      <c r="AB67" s="173" t="s">
        <v>83</v>
      </c>
      <c r="AC67" s="173" t="s">
        <v>83</v>
      </c>
      <c r="AD67" s="173" t="s">
        <v>83</v>
      </c>
      <c r="AE67" s="173" t="s">
        <v>83</v>
      </c>
      <c r="AF67" s="173" t="s">
        <v>83</v>
      </c>
      <c r="AG67" s="173" t="s">
        <v>83</v>
      </c>
      <c r="AH67" s="173" t="s">
        <v>83</v>
      </c>
      <c r="AI67" s="173" t="s">
        <v>83</v>
      </c>
      <c r="AJ67" s="173" t="s">
        <v>83</v>
      </c>
      <c r="AK67" s="173" t="s">
        <v>83</v>
      </c>
      <c r="AL67" s="141"/>
      <c r="AM67" s="188"/>
      <c r="AN67" s="188"/>
      <c r="AO67" s="188"/>
      <c r="AP67" s="188"/>
      <c r="AQ67" s="188"/>
      <c r="AR67" s="188"/>
      <c r="AS67" s="188"/>
      <c r="AT67" s="188"/>
      <c r="AU67" s="188"/>
      <c r="AV67" s="188"/>
      <c r="AW67" s="188"/>
      <c r="AX67" s="188"/>
      <c r="AY67" s="188"/>
      <c r="AZ67" s="188"/>
      <c r="BA67" s="188"/>
      <c r="BB67" s="188"/>
      <c r="BC67" s="188"/>
      <c r="BD67" s="188"/>
      <c r="BE67" s="188"/>
      <c r="BF67" s="188"/>
      <c r="BG67" s="188"/>
      <c r="BH67" s="188"/>
      <c r="BI67" s="188"/>
      <c r="BJ67" s="188"/>
      <c r="BK67" s="188"/>
      <c r="BL67" s="188"/>
      <c r="BM67" s="188"/>
      <c r="BN67" s="188"/>
      <c r="BO67" s="188"/>
      <c r="BP67" s="188"/>
    </row>
    <row r="68" spans="2:68" x14ac:dyDescent="0.15">
      <c r="B68" s="170">
        <v>11920</v>
      </c>
      <c r="C68" s="170" t="s">
        <v>361</v>
      </c>
      <c r="D68" s="170" t="s">
        <v>249</v>
      </c>
      <c r="E68" s="170" t="s">
        <v>358</v>
      </c>
      <c r="F68" s="170" t="s">
        <v>362</v>
      </c>
      <c r="G68" s="170" t="s">
        <v>190</v>
      </c>
      <c r="H68" s="170">
        <v>0</v>
      </c>
      <c r="I68" s="169" t="s">
        <v>87</v>
      </c>
      <c r="J68" s="170"/>
      <c r="K68" s="171"/>
      <c r="L68" s="171"/>
      <c r="M68" s="171"/>
      <c r="N68" s="171"/>
      <c r="O68" s="171"/>
      <c r="P68" s="171"/>
      <c r="Q68" s="171"/>
      <c r="R68" s="171"/>
      <c r="S68" s="171"/>
      <c r="T68" s="171"/>
      <c r="U68" s="171"/>
      <c r="V68" s="171"/>
      <c r="W68" s="171"/>
      <c r="X68" s="171"/>
      <c r="Y68" s="171"/>
      <c r="Z68" s="171"/>
      <c r="AA68" s="171"/>
      <c r="AB68" s="171"/>
      <c r="AC68" s="171"/>
      <c r="AD68" s="171"/>
      <c r="AE68" s="171"/>
      <c r="AF68" s="171"/>
      <c r="AG68" s="171"/>
      <c r="AH68" s="171"/>
      <c r="AI68" s="171"/>
      <c r="AJ68" s="171"/>
      <c r="AK68" s="171"/>
      <c r="AL68" s="141"/>
      <c r="AM68" s="188"/>
      <c r="AN68" s="188"/>
      <c r="AO68" s="188"/>
      <c r="AP68" s="188"/>
      <c r="AQ68" s="188"/>
      <c r="AR68" s="188"/>
      <c r="AS68" s="188"/>
      <c r="AT68" s="188"/>
      <c r="AU68" s="188"/>
      <c r="AV68" s="188"/>
      <c r="AW68" s="188"/>
      <c r="AX68" s="188"/>
      <c r="AY68" s="188"/>
      <c r="AZ68" s="188"/>
      <c r="BA68" s="188"/>
      <c r="BB68" s="188"/>
      <c r="BC68" s="188"/>
      <c r="BD68" s="188"/>
      <c r="BE68" s="188"/>
      <c r="BF68" s="188"/>
      <c r="BG68" s="188"/>
      <c r="BH68" s="188"/>
      <c r="BI68" s="188"/>
      <c r="BJ68" s="188"/>
      <c r="BK68" s="188"/>
      <c r="BL68" s="188"/>
      <c r="BM68" s="188"/>
      <c r="BN68" s="188"/>
      <c r="BO68" s="188"/>
      <c r="BP68" s="188"/>
    </row>
    <row r="69" spans="2:68" x14ac:dyDescent="0.15">
      <c r="B69" s="141">
        <v>11924</v>
      </c>
      <c r="C69" s="141" t="s">
        <v>363</v>
      </c>
      <c r="D69" s="141" t="s">
        <v>249</v>
      </c>
      <c r="E69" s="141" t="s">
        <v>358</v>
      </c>
      <c r="F69" s="141" t="s">
        <v>364</v>
      </c>
      <c r="G69" s="141" t="s">
        <v>310</v>
      </c>
      <c r="H69" s="141">
        <v>0</v>
      </c>
      <c r="I69" s="172"/>
      <c r="J69" s="141"/>
      <c r="K69" s="173"/>
      <c r="L69" s="173"/>
      <c r="M69" s="173"/>
      <c r="N69" s="173"/>
      <c r="O69" s="173"/>
      <c r="P69" s="173"/>
      <c r="Q69" s="173"/>
      <c r="R69" s="173"/>
      <c r="S69" s="173"/>
      <c r="T69" s="173"/>
      <c r="U69" s="173"/>
      <c r="V69" s="173"/>
      <c r="W69" s="173"/>
      <c r="X69" s="173"/>
      <c r="Y69" s="173"/>
      <c r="Z69" s="173"/>
      <c r="AA69" s="173"/>
      <c r="AB69" s="173"/>
      <c r="AC69" s="173"/>
      <c r="AD69" s="173"/>
      <c r="AE69" s="173"/>
      <c r="AF69" s="173"/>
      <c r="AG69" s="173"/>
      <c r="AH69" s="173"/>
      <c r="AI69" s="173"/>
      <c r="AJ69" s="173"/>
      <c r="AK69" s="173"/>
      <c r="AL69" s="141"/>
      <c r="AM69" s="188"/>
      <c r="AN69" s="188"/>
      <c r="AO69" s="188"/>
      <c r="AP69" s="188"/>
      <c r="AQ69" s="188"/>
      <c r="AR69" s="188"/>
      <c r="AS69" s="188"/>
      <c r="AT69" s="188"/>
      <c r="AU69" s="188"/>
      <c r="AV69" s="188"/>
      <c r="AW69" s="188"/>
      <c r="AX69" s="188"/>
      <c r="AY69" s="188"/>
      <c r="AZ69" s="188"/>
      <c r="BA69" s="188"/>
      <c r="BB69" s="188"/>
      <c r="BC69" s="188"/>
      <c r="BD69" s="188"/>
      <c r="BE69" s="188"/>
      <c r="BF69" s="188"/>
      <c r="BG69" s="188"/>
      <c r="BH69" s="188"/>
      <c r="BI69" s="188"/>
      <c r="BJ69" s="188"/>
      <c r="BK69" s="188"/>
      <c r="BL69" s="188"/>
      <c r="BM69" s="188"/>
      <c r="BN69" s="188"/>
      <c r="BO69" s="188"/>
      <c r="BP69" s="188"/>
    </row>
    <row r="70" spans="2:68" x14ac:dyDescent="0.15">
      <c r="B70" s="170">
        <v>2113</v>
      </c>
      <c r="C70" s="170" t="s">
        <v>365</v>
      </c>
      <c r="D70" s="170" t="s">
        <v>249</v>
      </c>
      <c r="E70" s="170" t="s">
        <v>358</v>
      </c>
      <c r="F70" s="170" t="s">
        <v>366</v>
      </c>
      <c r="G70" s="170" t="s">
        <v>258</v>
      </c>
      <c r="H70" s="170">
        <v>150</v>
      </c>
      <c r="I70" s="169" t="s">
        <v>87</v>
      </c>
      <c r="J70" s="170" t="s">
        <v>83</v>
      </c>
      <c r="K70" s="171" t="s">
        <v>83</v>
      </c>
      <c r="L70" s="171" t="s">
        <v>83</v>
      </c>
      <c r="M70" s="171" t="s">
        <v>83</v>
      </c>
      <c r="N70" s="171" t="s">
        <v>83</v>
      </c>
      <c r="O70" s="171" t="s">
        <v>83</v>
      </c>
      <c r="P70" s="171" t="s">
        <v>83</v>
      </c>
      <c r="Q70" s="171" t="s">
        <v>83</v>
      </c>
      <c r="R70" s="171" t="s">
        <v>83</v>
      </c>
      <c r="S70" s="171" t="s">
        <v>83</v>
      </c>
      <c r="T70" s="171" t="s">
        <v>83</v>
      </c>
      <c r="U70" s="171" t="s">
        <v>83</v>
      </c>
      <c r="V70" s="171" t="s">
        <v>83</v>
      </c>
      <c r="W70" s="171" t="s">
        <v>83</v>
      </c>
      <c r="X70" s="171" t="s">
        <v>83</v>
      </c>
      <c r="Y70" s="171" t="s">
        <v>83</v>
      </c>
      <c r="Z70" s="171" t="s">
        <v>83</v>
      </c>
      <c r="AA70" s="171" t="s">
        <v>83</v>
      </c>
      <c r="AB70" s="171" t="s">
        <v>83</v>
      </c>
      <c r="AC70" s="171" t="s">
        <v>83</v>
      </c>
      <c r="AD70" s="171" t="s">
        <v>83</v>
      </c>
      <c r="AE70" s="171" t="s">
        <v>83</v>
      </c>
      <c r="AF70" s="171" t="s">
        <v>83</v>
      </c>
      <c r="AG70" s="171" t="s">
        <v>83</v>
      </c>
      <c r="AH70" s="171" t="s">
        <v>83</v>
      </c>
      <c r="AI70" s="171" t="s">
        <v>83</v>
      </c>
      <c r="AJ70" s="171" t="s">
        <v>83</v>
      </c>
      <c r="AK70" s="171" t="s">
        <v>83</v>
      </c>
      <c r="AL70" s="141"/>
      <c r="AM70" s="188"/>
      <c r="AN70" s="188"/>
      <c r="AO70" s="188"/>
      <c r="AP70" s="188"/>
      <c r="AQ70" s="188"/>
      <c r="AR70" s="188"/>
      <c r="AS70" s="188"/>
      <c r="AT70" s="188"/>
      <c r="AU70" s="188"/>
      <c r="AV70" s="188"/>
      <c r="AW70" s="188"/>
      <c r="AX70" s="188"/>
      <c r="AY70" s="188"/>
      <c r="AZ70" s="188"/>
      <c r="BA70" s="188"/>
      <c r="BB70" s="188"/>
      <c r="BC70" s="188"/>
      <c r="BD70" s="188"/>
      <c r="BE70" s="188"/>
      <c r="BF70" s="188"/>
      <c r="BG70" s="188"/>
      <c r="BH70" s="188"/>
      <c r="BI70" s="188"/>
      <c r="BJ70" s="188"/>
      <c r="BK70" s="188"/>
      <c r="BL70" s="188"/>
      <c r="BM70" s="188"/>
      <c r="BN70" s="188"/>
      <c r="BO70" s="188"/>
      <c r="BP70" s="188"/>
    </row>
    <row r="71" spans="2:68" x14ac:dyDescent="0.15">
      <c r="B71" s="141">
        <v>68847</v>
      </c>
      <c r="C71" s="141" t="s">
        <v>367</v>
      </c>
      <c r="D71" s="141" t="s">
        <v>249</v>
      </c>
      <c r="E71" s="141" t="s">
        <v>358</v>
      </c>
      <c r="F71" s="141" t="s">
        <v>82</v>
      </c>
      <c r="G71" s="141" t="s">
        <v>82</v>
      </c>
      <c r="H71" s="141">
        <v>13</v>
      </c>
      <c r="I71" s="172"/>
      <c r="J71" s="141"/>
      <c r="K71" s="173"/>
      <c r="L71" s="173"/>
      <c r="M71" s="173"/>
      <c r="N71" s="173"/>
      <c r="O71" s="173"/>
      <c r="P71" s="173"/>
      <c r="Q71" s="173"/>
      <c r="R71" s="173"/>
      <c r="S71" s="173"/>
      <c r="T71" s="173"/>
      <c r="U71" s="173"/>
      <c r="V71" s="173"/>
      <c r="W71" s="173"/>
      <c r="X71" s="173"/>
      <c r="Y71" s="173"/>
      <c r="Z71" s="173"/>
      <c r="AA71" s="173"/>
      <c r="AB71" s="173"/>
      <c r="AC71" s="173"/>
      <c r="AD71" s="173"/>
      <c r="AE71" s="173"/>
      <c r="AF71" s="173"/>
      <c r="AG71" s="173"/>
      <c r="AH71" s="173"/>
      <c r="AI71" s="173"/>
      <c r="AJ71" s="173"/>
      <c r="AK71" s="173"/>
      <c r="AL71" s="141"/>
      <c r="AM71" s="188"/>
      <c r="AN71" s="188"/>
      <c r="AO71" s="188"/>
      <c r="AP71" s="188"/>
      <c r="AQ71" s="188"/>
      <c r="AR71" s="188"/>
      <c r="AS71" s="188"/>
      <c r="AT71" s="188"/>
      <c r="AU71" s="188"/>
      <c r="AV71" s="188"/>
      <c r="AW71" s="188"/>
      <c r="AX71" s="188"/>
      <c r="AY71" s="188"/>
      <c r="AZ71" s="188"/>
      <c r="BA71" s="188"/>
      <c r="BB71" s="188"/>
      <c r="BC71" s="188"/>
      <c r="BD71" s="188"/>
      <c r="BE71" s="188"/>
      <c r="BF71" s="188"/>
      <c r="BG71" s="188"/>
      <c r="BH71" s="188"/>
      <c r="BI71" s="188"/>
      <c r="BJ71" s="188"/>
      <c r="BK71" s="188"/>
      <c r="BL71" s="188"/>
      <c r="BM71" s="188"/>
      <c r="BN71" s="188"/>
      <c r="BO71" s="188"/>
      <c r="BP71" s="188"/>
    </row>
    <row r="72" spans="2:68" x14ac:dyDescent="0.15">
      <c r="B72" s="170">
        <v>10400</v>
      </c>
      <c r="C72" s="170" t="s">
        <v>368</v>
      </c>
      <c r="D72" s="170" t="s">
        <v>249</v>
      </c>
      <c r="E72" s="170" t="s">
        <v>358</v>
      </c>
      <c r="F72" s="170" t="s">
        <v>369</v>
      </c>
      <c r="G72" s="170" t="s">
        <v>370</v>
      </c>
      <c r="H72" s="170">
        <v>96</v>
      </c>
      <c r="I72" s="169"/>
      <c r="J72" s="170"/>
      <c r="K72" s="171"/>
      <c r="L72" s="171"/>
      <c r="M72" s="171"/>
      <c r="N72" s="171"/>
      <c r="O72" s="171"/>
      <c r="P72" s="171"/>
      <c r="Q72" s="171"/>
      <c r="R72" s="171"/>
      <c r="S72" s="171"/>
      <c r="T72" s="171"/>
      <c r="U72" s="171"/>
      <c r="V72" s="171"/>
      <c r="W72" s="171"/>
      <c r="X72" s="171"/>
      <c r="Y72" s="171"/>
      <c r="Z72" s="171"/>
      <c r="AA72" s="171"/>
      <c r="AB72" s="171"/>
      <c r="AC72" s="171"/>
      <c r="AD72" s="171"/>
      <c r="AE72" s="171"/>
      <c r="AF72" s="171"/>
      <c r="AG72" s="171"/>
      <c r="AH72" s="171"/>
      <c r="AI72" s="171"/>
      <c r="AJ72" s="171"/>
      <c r="AK72" s="171"/>
      <c r="AL72" s="141"/>
      <c r="AM72" s="188"/>
      <c r="AN72" s="188"/>
      <c r="AO72" s="188"/>
      <c r="AP72" s="188"/>
      <c r="AQ72" s="188"/>
      <c r="AR72" s="188"/>
      <c r="AS72" s="188"/>
      <c r="AT72" s="188"/>
      <c r="AU72" s="188"/>
      <c r="AV72" s="188"/>
      <c r="AW72" s="188"/>
      <c r="AX72" s="188"/>
      <c r="AY72" s="188"/>
      <c r="AZ72" s="188"/>
      <c r="BA72" s="188"/>
      <c r="BB72" s="188"/>
      <c r="BC72" s="188"/>
      <c r="BD72" s="188"/>
      <c r="BE72" s="188"/>
      <c r="BF72" s="188"/>
      <c r="BG72" s="188"/>
      <c r="BH72" s="188"/>
      <c r="BI72" s="188"/>
      <c r="BJ72" s="188"/>
      <c r="BK72" s="188"/>
      <c r="BL72" s="188"/>
      <c r="BM72" s="188"/>
      <c r="BN72" s="188"/>
      <c r="BO72" s="188"/>
      <c r="BP72" s="188"/>
    </row>
    <row r="73" spans="2:68" x14ac:dyDescent="0.15">
      <c r="B73" s="141">
        <v>6763</v>
      </c>
      <c r="C73" s="141" t="s">
        <v>371</v>
      </c>
      <c r="D73" s="141" t="s">
        <v>249</v>
      </c>
      <c r="E73" s="141" t="s">
        <v>358</v>
      </c>
      <c r="F73" s="141" t="s">
        <v>372</v>
      </c>
      <c r="G73" s="141" t="s">
        <v>372</v>
      </c>
      <c r="H73" s="141">
        <v>59</v>
      </c>
      <c r="I73" s="172"/>
      <c r="J73" s="141" t="s">
        <v>83</v>
      </c>
      <c r="K73" s="173" t="s">
        <v>83</v>
      </c>
      <c r="L73" s="173" t="s">
        <v>83</v>
      </c>
      <c r="M73" s="173" t="s">
        <v>83</v>
      </c>
      <c r="N73" s="173" t="s">
        <v>83</v>
      </c>
      <c r="O73" s="173" t="s">
        <v>83</v>
      </c>
      <c r="P73" s="173" t="s">
        <v>83</v>
      </c>
      <c r="Q73" s="173" t="s">
        <v>83</v>
      </c>
      <c r="R73" s="173" t="s">
        <v>83</v>
      </c>
      <c r="S73" s="173" t="s">
        <v>83</v>
      </c>
      <c r="T73" s="173" t="s">
        <v>83</v>
      </c>
      <c r="U73" s="173" t="s">
        <v>83</v>
      </c>
      <c r="V73" s="173" t="s">
        <v>83</v>
      </c>
      <c r="W73" s="173" t="s">
        <v>83</v>
      </c>
      <c r="X73" s="173" t="s">
        <v>83</v>
      </c>
      <c r="Y73" s="173" t="s">
        <v>83</v>
      </c>
      <c r="Z73" s="173" t="s">
        <v>83</v>
      </c>
      <c r="AA73" s="173" t="s">
        <v>83</v>
      </c>
      <c r="AB73" s="173" t="s">
        <v>83</v>
      </c>
      <c r="AC73" s="173" t="s">
        <v>83</v>
      </c>
      <c r="AD73" s="173" t="s">
        <v>83</v>
      </c>
      <c r="AE73" s="173" t="s">
        <v>83</v>
      </c>
      <c r="AF73" s="173" t="s">
        <v>83</v>
      </c>
      <c r="AG73" s="173" t="s">
        <v>83</v>
      </c>
      <c r="AH73" s="173" t="s">
        <v>83</v>
      </c>
      <c r="AI73" s="173" t="s">
        <v>83</v>
      </c>
      <c r="AJ73" s="173" t="s">
        <v>83</v>
      </c>
      <c r="AK73" s="173" t="s">
        <v>83</v>
      </c>
      <c r="AL73" s="141"/>
      <c r="AM73" s="188"/>
      <c r="AN73" s="188"/>
      <c r="AO73" s="188"/>
      <c r="AP73" s="188"/>
      <c r="AQ73" s="188"/>
      <c r="AR73" s="188"/>
      <c r="AS73" s="188"/>
      <c r="AT73" s="188"/>
      <c r="AU73" s="188"/>
      <c r="AV73" s="188"/>
      <c r="AW73" s="188"/>
      <c r="AX73" s="188"/>
      <c r="AY73" s="188"/>
      <c r="AZ73" s="188"/>
      <c r="BA73" s="188"/>
      <c r="BB73" s="188"/>
      <c r="BC73" s="188"/>
      <c r="BD73" s="188"/>
      <c r="BE73" s="188"/>
      <c r="BF73" s="188"/>
      <c r="BG73" s="188"/>
      <c r="BH73" s="188"/>
      <c r="BI73" s="188"/>
      <c r="BJ73" s="188"/>
      <c r="BK73" s="188"/>
      <c r="BL73" s="188"/>
      <c r="BM73" s="188"/>
      <c r="BN73" s="188"/>
      <c r="BO73" s="188"/>
      <c r="BP73" s="188"/>
    </row>
    <row r="74" spans="2:68" x14ac:dyDescent="0.15">
      <c r="B74" s="170">
        <v>18355</v>
      </c>
      <c r="C74" s="170" t="s">
        <v>373</v>
      </c>
      <c r="D74" s="170" t="s">
        <v>249</v>
      </c>
      <c r="E74" s="170" t="s">
        <v>358</v>
      </c>
      <c r="F74" s="170" t="s">
        <v>374</v>
      </c>
      <c r="G74" s="170" t="s">
        <v>258</v>
      </c>
      <c r="H74" s="170">
        <v>33</v>
      </c>
      <c r="I74" s="169"/>
      <c r="J74" s="170"/>
      <c r="K74" s="171"/>
      <c r="L74" s="171"/>
      <c r="M74" s="171"/>
      <c r="N74" s="171"/>
      <c r="O74" s="171"/>
      <c r="P74" s="171"/>
      <c r="Q74" s="171"/>
      <c r="R74" s="171"/>
      <c r="S74" s="171"/>
      <c r="T74" s="171"/>
      <c r="U74" s="171"/>
      <c r="V74" s="171"/>
      <c r="W74" s="171"/>
      <c r="X74" s="171"/>
      <c r="Y74" s="171"/>
      <c r="Z74" s="171"/>
      <c r="AA74" s="171"/>
      <c r="AB74" s="171"/>
      <c r="AC74" s="171"/>
      <c r="AD74" s="171"/>
      <c r="AE74" s="171"/>
      <c r="AF74" s="171"/>
      <c r="AG74" s="171"/>
      <c r="AH74" s="171"/>
      <c r="AI74" s="171"/>
      <c r="AJ74" s="171"/>
      <c r="AK74" s="171"/>
      <c r="AL74" s="141"/>
      <c r="AM74" s="188"/>
      <c r="AN74" s="188"/>
      <c r="AO74" s="188"/>
      <c r="AP74" s="188"/>
      <c r="AQ74" s="188"/>
      <c r="AR74" s="188"/>
      <c r="AS74" s="188"/>
      <c r="AT74" s="188"/>
      <c r="AU74" s="188"/>
      <c r="AV74" s="188"/>
      <c r="AW74" s="188"/>
      <c r="AX74" s="188"/>
      <c r="AY74" s="188"/>
      <c r="AZ74" s="188"/>
      <c r="BA74" s="188"/>
      <c r="BB74" s="188"/>
      <c r="BC74" s="188"/>
      <c r="BD74" s="188"/>
      <c r="BE74" s="188"/>
      <c r="BF74" s="188"/>
      <c r="BG74" s="188"/>
      <c r="BH74" s="188"/>
      <c r="BI74" s="188"/>
      <c r="BJ74" s="188"/>
      <c r="BK74" s="188"/>
      <c r="BL74" s="188"/>
      <c r="BM74" s="188"/>
      <c r="BN74" s="188"/>
      <c r="BO74" s="188"/>
      <c r="BP74" s="188"/>
    </row>
    <row r="75" spans="2:68" x14ac:dyDescent="0.15">
      <c r="B75" s="141">
        <v>16011</v>
      </c>
      <c r="C75" s="141" t="s">
        <v>375</v>
      </c>
      <c r="D75" s="141" t="s">
        <v>249</v>
      </c>
      <c r="E75" s="141" t="s">
        <v>358</v>
      </c>
      <c r="F75" s="141" t="s">
        <v>376</v>
      </c>
      <c r="G75" s="141" t="s">
        <v>216</v>
      </c>
      <c r="H75" s="141">
        <v>35</v>
      </c>
      <c r="I75" s="172"/>
      <c r="J75" s="141"/>
      <c r="K75" s="173"/>
      <c r="L75" s="173"/>
      <c r="M75" s="173"/>
      <c r="N75" s="173"/>
      <c r="O75" s="173"/>
      <c r="P75" s="173"/>
      <c r="Q75" s="173"/>
      <c r="R75" s="173"/>
      <c r="S75" s="173"/>
      <c r="T75" s="173"/>
      <c r="U75" s="173"/>
      <c r="V75" s="173"/>
      <c r="W75" s="173"/>
      <c r="X75" s="173"/>
      <c r="Y75" s="173"/>
      <c r="Z75" s="173"/>
      <c r="AA75" s="173"/>
      <c r="AB75" s="173"/>
      <c r="AC75" s="173"/>
      <c r="AD75" s="173"/>
      <c r="AE75" s="173"/>
      <c r="AF75" s="173"/>
      <c r="AG75" s="173"/>
      <c r="AH75" s="173"/>
      <c r="AI75" s="173"/>
      <c r="AJ75" s="173"/>
      <c r="AK75" s="173"/>
      <c r="AL75" s="141"/>
      <c r="AM75" s="188"/>
      <c r="AN75" s="188"/>
      <c r="AO75" s="188"/>
      <c r="AP75" s="188"/>
      <c r="AQ75" s="188"/>
      <c r="AR75" s="188"/>
      <c r="AS75" s="188"/>
      <c r="AT75" s="188"/>
      <c r="AU75" s="188"/>
      <c r="AV75" s="188"/>
      <c r="AW75" s="188"/>
      <c r="AX75" s="188"/>
      <c r="AY75" s="188"/>
      <c r="AZ75" s="188"/>
      <c r="BA75" s="188"/>
      <c r="BB75" s="188"/>
      <c r="BC75" s="188"/>
      <c r="BD75" s="188"/>
      <c r="BE75" s="188"/>
      <c r="BF75" s="188"/>
      <c r="BG75" s="188"/>
      <c r="BH75" s="188"/>
      <c r="BI75" s="188"/>
      <c r="BJ75" s="188"/>
      <c r="BK75" s="188"/>
      <c r="BL75" s="188"/>
      <c r="BM75" s="188"/>
      <c r="BN75" s="188"/>
      <c r="BO75" s="188"/>
      <c r="BP75" s="188"/>
    </row>
    <row r="76" spans="2:68" x14ac:dyDescent="0.15">
      <c r="B76" s="170">
        <v>27847</v>
      </c>
      <c r="C76" s="170" t="s">
        <v>377</v>
      </c>
      <c r="D76" s="170" t="s">
        <v>249</v>
      </c>
      <c r="E76" s="170" t="s">
        <v>358</v>
      </c>
      <c r="F76" s="170" t="s">
        <v>107</v>
      </c>
      <c r="G76" s="170" t="s">
        <v>378</v>
      </c>
      <c r="H76" s="170">
        <v>74</v>
      </c>
      <c r="I76" s="169"/>
      <c r="J76" s="170"/>
      <c r="K76" s="171"/>
      <c r="L76" s="171"/>
      <c r="M76" s="171"/>
      <c r="N76" s="171"/>
      <c r="O76" s="171"/>
      <c r="P76" s="171"/>
      <c r="Q76" s="171"/>
      <c r="R76" s="171"/>
      <c r="S76" s="171"/>
      <c r="T76" s="171"/>
      <c r="U76" s="171"/>
      <c r="V76" s="171"/>
      <c r="W76" s="171"/>
      <c r="X76" s="171"/>
      <c r="Y76" s="171"/>
      <c r="Z76" s="171"/>
      <c r="AA76" s="171"/>
      <c r="AB76" s="171"/>
      <c r="AC76" s="171"/>
      <c r="AD76" s="171"/>
      <c r="AE76" s="171"/>
      <c r="AF76" s="171"/>
      <c r="AG76" s="171"/>
      <c r="AH76" s="171"/>
      <c r="AI76" s="171"/>
      <c r="AJ76" s="171"/>
      <c r="AK76" s="171"/>
      <c r="AL76" s="141"/>
      <c r="AM76" s="188"/>
      <c r="AN76" s="188"/>
      <c r="AO76" s="188"/>
      <c r="AP76" s="188"/>
      <c r="AQ76" s="188"/>
      <c r="AR76" s="188"/>
      <c r="AS76" s="188"/>
      <c r="AT76" s="188"/>
      <c r="AU76" s="188"/>
      <c r="AV76" s="188"/>
      <c r="AW76" s="188"/>
      <c r="AX76" s="188"/>
      <c r="AY76" s="188"/>
      <c r="AZ76" s="188"/>
      <c r="BA76" s="188"/>
      <c r="BB76" s="188"/>
      <c r="BC76" s="188"/>
      <c r="BD76" s="188"/>
      <c r="BE76" s="188"/>
      <c r="BF76" s="188"/>
      <c r="BG76" s="188"/>
      <c r="BH76" s="188"/>
      <c r="BI76" s="188"/>
      <c r="BJ76" s="188"/>
      <c r="BK76" s="188"/>
      <c r="BL76" s="188"/>
      <c r="BM76" s="188"/>
      <c r="BN76" s="188"/>
      <c r="BO76" s="188"/>
      <c r="BP76" s="188"/>
    </row>
    <row r="77" spans="2:68" x14ac:dyDescent="0.15">
      <c r="B77" s="141">
        <v>30199</v>
      </c>
      <c r="C77" s="141" t="s">
        <v>379</v>
      </c>
      <c r="D77" s="141" t="s">
        <v>249</v>
      </c>
      <c r="E77" s="141" t="s">
        <v>358</v>
      </c>
      <c r="F77" s="141" t="s">
        <v>380</v>
      </c>
      <c r="G77" s="141" t="s">
        <v>380</v>
      </c>
      <c r="H77" s="141">
        <v>16</v>
      </c>
      <c r="I77" s="172"/>
      <c r="J77" s="141"/>
      <c r="K77" s="173"/>
      <c r="L77" s="173"/>
      <c r="M77" s="173"/>
      <c r="N77" s="173"/>
      <c r="O77" s="173"/>
      <c r="P77" s="173"/>
      <c r="Q77" s="173"/>
      <c r="R77" s="173"/>
      <c r="S77" s="173"/>
      <c r="T77" s="173"/>
      <c r="U77" s="173"/>
      <c r="V77" s="173"/>
      <c r="W77" s="173"/>
      <c r="X77" s="173"/>
      <c r="Y77" s="173"/>
      <c r="Z77" s="173"/>
      <c r="AA77" s="173"/>
      <c r="AB77" s="173"/>
      <c r="AC77" s="173"/>
      <c r="AD77" s="173"/>
      <c r="AE77" s="173"/>
      <c r="AF77" s="173"/>
      <c r="AG77" s="173"/>
      <c r="AH77" s="173"/>
      <c r="AI77" s="173"/>
      <c r="AJ77" s="173"/>
      <c r="AK77" s="173"/>
      <c r="AL77" s="141"/>
      <c r="AM77" s="188"/>
      <c r="AN77" s="188"/>
      <c r="AO77" s="188"/>
      <c r="AP77" s="188"/>
      <c r="AQ77" s="188"/>
      <c r="AR77" s="188"/>
      <c r="AS77" s="188"/>
      <c r="AT77" s="188"/>
      <c r="AU77" s="188"/>
      <c r="AV77" s="188"/>
      <c r="AW77" s="188"/>
      <c r="AX77" s="188"/>
      <c r="AY77" s="188"/>
      <c r="AZ77" s="188"/>
      <c r="BA77" s="188"/>
      <c r="BB77" s="188"/>
      <c r="BC77" s="188"/>
      <c r="BD77" s="188"/>
      <c r="BE77" s="188"/>
      <c r="BF77" s="188"/>
      <c r="BG77" s="188"/>
      <c r="BH77" s="188"/>
      <c r="BI77" s="188"/>
      <c r="BJ77" s="188"/>
      <c r="BK77" s="188"/>
      <c r="BL77" s="188"/>
      <c r="BM77" s="188"/>
      <c r="BN77" s="188"/>
      <c r="BO77" s="188"/>
      <c r="BP77" s="188"/>
    </row>
    <row r="78" spans="2:68" x14ac:dyDescent="0.15">
      <c r="B78" s="170">
        <v>47620</v>
      </c>
      <c r="C78" s="170" t="s">
        <v>381</v>
      </c>
      <c r="D78" s="170" t="s">
        <v>249</v>
      </c>
      <c r="E78" s="170" t="s">
        <v>358</v>
      </c>
      <c r="F78" s="170" t="s">
        <v>232</v>
      </c>
      <c r="G78" s="170" t="s">
        <v>232</v>
      </c>
      <c r="H78" s="170">
        <v>22</v>
      </c>
      <c r="I78" s="169"/>
      <c r="J78" s="170"/>
      <c r="K78" s="171"/>
      <c r="L78" s="171"/>
      <c r="M78" s="171"/>
      <c r="N78" s="171"/>
      <c r="O78" s="171"/>
      <c r="P78" s="171"/>
      <c r="Q78" s="171"/>
      <c r="R78" s="171"/>
      <c r="S78" s="171"/>
      <c r="T78" s="171"/>
      <c r="U78" s="171"/>
      <c r="V78" s="171"/>
      <c r="W78" s="171"/>
      <c r="X78" s="171"/>
      <c r="Y78" s="171"/>
      <c r="Z78" s="171"/>
      <c r="AA78" s="171"/>
      <c r="AB78" s="171"/>
      <c r="AC78" s="171"/>
      <c r="AD78" s="171"/>
      <c r="AE78" s="171"/>
      <c r="AF78" s="171"/>
      <c r="AG78" s="171"/>
      <c r="AH78" s="171"/>
      <c r="AI78" s="171"/>
      <c r="AJ78" s="171"/>
      <c r="AK78" s="171"/>
      <c r="AL78" s="141"/>
      <c r="AM78" s="188"/>
      <c r="AN78" s="188"/>
      <c r="AO78" s="188"/>
      <c r="AP78" s="188"/>
      <c r="AQ78" s="188"/>
      <c r="AR78" s="188"/>
      <c r="AS78" s="188"/>
      <c r="AT78" s="188"/>
      <c r="AU78" s="188"/>
      <c r="AV78" s="188"/>
      <c r="AW78" s="188"/>
      <c r="AX78" s="188"/>
      <c r="AY78" s="188"/>
      <c r="AZ78" s="188"/>
      <c r="BA78" s="188"/>
      <c r="BB78" s="188"/>
      <c r="BC78" s="188"/>
      <c r="BD78" s="188"/>
      <c r="BE78" s="188"/>
      <c r="BF78" s="188"/>
      <c r="BG78" s="188"/>
      <c r="BH78" s="188"/>
      <c r="BI78" s="188"/>
      <c r="BJ78" s="188"/>
      <c r="BK78" s="188"/>
      <c r="BL78" s="188"/>
      <c r="BM78" s="188"/>
      <c r="BN78" s="188"/>
      <c r="BO78" s="188"/>
      <c r="BP78" s="188"/>
    </row>
    <row r="79" spans="2:68" x14ac:dyDescent="0.15">
      <c r="B79" s="141">
        <v>11931</v>
      </c>
      <c r="C79" s="141" t="s">
        <v>382</v>
      </c>
      <c r="D79" s="141" t="s">
        <v>249</v>
      </c>
      <c r="E79" s="141" t="s">
        <v>383</v>
      </c>
      <c r="F79" s="141" t="s">
        <v>384</v>
      </c>
      <c r="G79" s="141"/>
      <c r="H79" s="141">
        <v>0</v>
      </c>
      <c r="I79" s="172"/>
      <c r="J79" s="141"/>
      <c r="K79" s="173"/>
      <c r="L79" s="173"/>
      <c r="M79" s="173"/>
      <c r="N79" s="173"/>
      <c r="O79" s="173"/>
      <c r="P79" s="173"/>
      <c r="Q79" s="173"/>
      <c r="R79" s="173"/>
      <c r="S79" s="173"/>
      <c r="T79" s="173"/>
      <c r="U79" s="173"/>
      <c r="V79" s="173"/>
      <c r="W79" s="173"/>
      <c r="X79" s="173"/>
      <c r="Y79" s="173"/>
      <c r="Z79" s="173"/>
      <c r="AA79" s="173"/>
      <c r="AB79" s="173"/>
      <c r="AC79" s="173"/>
      <c r="AD79" s="173"/>
      <c r="AE79" s="173"/>
      <c r="AF79" s="173"/>
      <c r="AG79" s="173"/>
      <c r="AH79" s="173"/>
      <c r="AI79" s="173"/>
      <c r="AJ79" s="173"/>
      <c r="AK79" s="173"/>
      <c r="AL79" s="141"/>
      <c r="AM79" s="188"/>
      <c r="AN79" s="188"/>
      <c r="AO79" s="188"/>
      <c r="AP79" s="188"/>
      <c r="AQ79" s="188"/>
      <c r="AR79" s="188"/>
      <c r="AS79" s="188"/>
      <c r="AT79" s="188"/>
      <c r="AU79" s="188"/>
      <c r="AV79" s="188"/>
      <c r="AW79" s="188"/>
      <c r="AX79" s="188"/>
      <c r="AY79" s="188"/>
      <c r="AZ79" s="188"/>
      <c r="BA79" s="188"/>
      <c r="BB79" s="188"/>
      <c r="BC79" s="188"/>
      <c r="BD79" s="188"/>
      <c r="BE79" s="188"/>
      <c r="BF79" s="188"/>
      <c r="BG79" s="188"/>
      <c r="BH79" s="188"/>
      <c r="BI79" s="188"/>
      <c r="BJ79" s="188"/>
      <c r="BK79" s="188"/>
      <c r="BL79" s="188"/>
      <c r="BM79" s="188"/>
      <c r="BN79" s="188"/>
      <c r="BO79" s="188"/>
      <c r="BP79" s="188"/>
    </row>
    <row r="80" spans="2:68" x14ac:dyDescent="0.15">
      <c r="B80" s="170">
        <v>11916</v>
      </c>
      <c r="C80" s="170" t="s">
        <v>385</v>
      </c>
      <c r="D80" s="170" t="s">
        <v>249</v>
      </c>
      <c r="E80" s="170" t="s">
        <v>383</v>
      </c>
      <c r="F80" s="170" t="s">
        <v>165</v>
      </c>
      <c r="G80" s="170" t="s">
        <v>224</v>
      </c>
      <c r="H80" s="170">
        <v>28</v>
      </c>
      <c r="I80" s="169"/>
      <c r="J80" s="170"/>
      <c r="K80" s="171"/>
      <c r="L80" s="171"/>
      <c r="M80" s="171"/>
      <c r="N80" s="171"/>
      <c r="O80" s="171"/>
      <c r="P80" s="171"/>
      <c r="Q80" s="171"/>
      <c r="R80" s="171"/>
      <c r="S80" s="171"/>
      <c r="T80" s="171"/>
      <c r="U80" s="171"/>
      <c r="V80" s="171"/>
      <c r="W80" s="171"/>
      <c r="X80" s="171"/>
      <c r="Y80" s="171"/>
      <c r="Z80" s="171"/>
      <c r="AA80" s="171"/>
      <c r="AB80" s="171"/>
      <c r="AC80" s="171"/>
      <c r="AD80" s="171"/>
      <c r="AE80" s="171"/>
      <c r="AF80" s="171"/>
      <c r="AG80" s="171"/>
      <c r="AH80" s="171"/>
      <c r="AI80" s="171"/>
      <c r="AJ80" s="171"/>
      <c r="AK80" s="171"/>
      <c r="AL80" s="141"/>
      <c r="AM80" s="188"/>
      <c r="AN80" s="188"/>
      <c r="AO80" s="188"/>
      <c r="AP80" s="188"/>
      <c r="AQ80" s="188"/>
      <c r="AR80" s="188"/>
      <c r="AS80" s="188"/>
      <c r="AT80" s="188"/>
      <c r="AU80" s="188"/>
      <c r="AV80" s="188"/>
      <c r="AW80" s="188"/>
      <c r="AX80" s="188"/>
      <c r="AY80" s="188"/>
      <c r="AZ80" s="188"/>
      <c r="BA80" s="188"/>
      <c r="BB80" s="188"/>
      <c r="BC80" s="188"/>
      <c r="BD80" s="188"/>
      <c r="BE80" s="188"/>
      <c r="BF80" s="188"/>
      <c r="BG80" s="188"/>
      <c r="BH80" s="188"/>
      <c r="BI80" s="188"/>
      <c r="BJ80" s="188"/>
      <c r="BK80" s="188"/>
      <c r="BL80" s="188"/>
      <c r="BM80" s="188"/>
      <c r="BN80" s="188"/>
      <c r="BO80" s="188"/>
      <c r="BP80" s="188"/>
    </row>
    <row r="81" spans="1:68" x14ac:dyDescent="0.15">
      <c r="B81" s="141">
        <v>6779</v>
      </c>
      <c r="C81" s="141" t="s">
        <v>386</v>
      </c>
      <c r="D81" s="141" t="s">
        <v>249</v>
      </c>
      <c r="E81" s="141" t="s">
        <v>383</v>
      </c>
      <c r="F81" s="141" t="s">
        <v>286</v>
      </c>
      <c r="G81" s="141" t="s">
        <v>151</v>
      </c>
      <c r="H81" s="141">
        <v>0</v>
      </c>
      <c r="I81" s="172"/>
      <c r="J81" s="141"/>
      <c r="K81" s="173"/>
      <c r="L81" s="173"/>
      <c r="M81" s="173"/>
      <c r="N81" s="173"/>
      <c r="O81" s="173"/>
      <c r="P81" s="173"/>
      <c r="Q81" s="173"/>
      <c r="R81" s="173"/>
      <c r="S81" s="173"/>
      <c r="T81" s="173"/>
      <c r="U81" s="173"/>
      <c r="V81" s="173"/>
      <c r="W81" s="173"/>
      <c r="X81" s="173"/>
      <c r="Y81" s="173"/>
      <c r="Z81" s="173"/>
      <c r="AA81" s="173"/>
      <c r="AB81" s="173"/>
      <c r="AC81" s="173"/>
      <c r="AD81" s="173"/>
      <c r="AE81" s="173"/>
      <c r="AF81" s="173"/>
      <c r="AG81" s="173"/>
      <c r="AH81" s="173"/>
      <c r="AI81" s="173"/>
      <c r="AJ81" s="173"/>
      <c r="AK81" s="173"/>
      <c r="AL81" s="141"/>
      <c r="AM81" s="188"/>
      <c r="AN81" s="188"/>
      <c r="AO81" s="188"/>
      <c r="AP81" s="188"/>
      <c r="AQ81" s="188"/>
      <c r="AR81" s="188"/>
      <c r="AS81" s="188"/>
      <c r="AT81" s="188"/>
      <c r="AU81" s="188"/>
      <c r="AV81" s="188"/>
      <c r="AW81" s="188"/>
      <c r="AX81" s="188"/>
      <c r="AY81" s="188"/>
      <c r="AZ81" s="188"/>
      <c r="BA81" s="188"/>
      <c r="BB81" s="188"/>
      <c r="BC81" s="188"/>
      <c r="BD81" s="188"/>
      <c r="BE81" s="188"/>
      <c r="BF81" s="188"/>
      <c r="BG81" s="188"/>
      <c r="BH81" s="188"/>
      <c r="BI81" s="188"/>
      <c r="BJ81" s="188"/>
      <c r="BK81" s="188"/>
      <c r="BL81" s="188"/>
      <c r="BM81" s="188"/>
      <c r="BN81" s="188"/>
      <c r="BO81" s="188"/>
      <c r="BP81" s="188"/>
    </row>
    <row r="82" spans="1:68" x14ac:dyDescent="0.15">
      <c r="B82" s="170">
        <v>41579</v>
      </c>
      <c r="C82" s="170" t="s">
        <v>387</v>
      </c>
      <c r="D82" s="170" t="s">
        <v>249</v>
      </c>
      <c r="E82" s="170" t="s">
        <v>383</v>
      </c>
      <c r="F82" s="170" t="s">
        <v>388</v>
      </c>
      <c r="G82" s="170" t="s">
        <v>388</v>
      </c>
      <c r="H82" s="170">
        <v>16</v>
      </c>
      <c r="I82" s="169"/>
      <c r="J82" s="170"/>
      <c r="K82" s="171"/>
      <c r="L82" s="171"/>
      <c r="M82" s="171"/>
      <c r="N82" s="171"/>
      <c r="O82" s="171"/>
      <c r="P82" s="171"/>
      <c r="Q82" s="171"/>
      <c r="R82" s="171"/>
      <c r="S82" s="171"/>
      <c r="T82" s="171"/>
      <c r="U82" s="171"/>
      <c r="V82" s="171"/>
      <c r="W82" s="171"/>
      <c r="X82" s="171"/>
      <c r="Y82" s="171"/>
      <c r="Z82" s="171"/>
      <c r="AA82" s="171"/>
      <c r="AB82" s="171"/>
      <c r="AC82" s="171"/>
      <c r="AD82" s="171"/>
      <c r="AE82" s="171"/>
      <c r="AF82" s="171"/>
      <c r="AG82" s="171"/>
      <c r="AH82" s="171"/>
      <c r="AI82" s="171"/>
      <c r="AJ82" s="171"/>
      <c r="AK82" s="171"/>
      <c r="AL82" s="141"/>
      <c r="AM82" s="188"/>
      <c r="AN82" s="188"/>
      <c r="AO82" s="188"/>
      <c r="AP82" s="188"/>
      <c r="AQ82" s="188"/>
      <c r="AR82" s="188"/>
      <c r="AS82" s="188"/>
      <c r="AT82" s="188"/>
      <c r="AU82" s="188"/>
      <c r="AV82" s="188"/>
      <c r="AW82" s="188"/>
      <c r="AX82" s="188"/>
      <c r="AY82" s="188"/>
      <c r="AZ82" s="188"/>
      <c r="BA82" s="188"/>
      <c r="BB82" s="188"/>
      <c r="BC82" s="188"/>
      <c r="BD82" s="188"/>
      <c r="BE82" s="188"/>
      <c r="BF82" s="188"/>
      <c r="BG82" s="188"/>
      <c r="BH82" s="188"/>
      <c r="BI82" s="188"/>
      <c r="BJ82" s="188"/>
      <c r="BK82" s="188"/>
      <c r="BL82" s="188"/>
      <c r="BM82" s="188"/>
      <c r="BN82" s="188"/>
      <c r="BO82" s="188"/>
      <c r="BP82" s="188"/>
    </row>
    <row r="83" spans="1:68" x14ac:dyDescent="0.15">
      <c r="B83" s="141">
        <v>11934</v>
      </c>
      <c r="C83" s="141" t="s">
        <v>389</v>
      </c>
      <c r="D83" s="141" t="s">
        <v>249</v>
      </c>
      <c r="E83" s="141" t="s">
        <v>383</v>
      </c>
      <c r="F83" s="141" t="s">
        <v>165</v>
      </c>
      <c r="G83" s="141" t="s">
        <v>390</v>
      </c>
      <c r="H83" s="141">
        <v>61</v>
      </c>
      <c r="I83" s="172"/>
      <c r="J83" s="141"/>
      <c r="K83" s="173"/>
      <c r="L83" s="173"/>
      <c r="M83" s="173"/>
      <c r="N83" s="173"/>
      <c r="O83" s="173"/>
      <c r="P83" s="173"/>
      <c r="Q83" s="173"/>
      <c r="R83" s="173"/>
      <c r="S83" s="173"/>
      <c r="T83" s="173"/>
      <c r="U83" s="173"/>
      <c r="V83" s="173"/>
      <c r="W83" s="173"/>
      <c r="X83" s="173"/>
      <c r="Y83" s="173"/>
      <c r="Z83" s="173"/>
      <c r="AA83" s="173"/>
      <c r="AB83" s="173"/>
      <c r="AC83" s="173"/>
      <c r="AD83" s="173"/>
      <c r="AE83" s="173"/>
      <c r="AF83" s="173"/>
      <c r="AG83" s="173"/>
      <c r="AH83" s="173"/>
      <c r="AI83" s="173"/>
      <c r="AJ83" s="173"/>
      <c r="AK83" s="173"/>
      <c r="AL83" s="141"/>
      <c r="AM83" s="188"/>
      <c r="AN83" s="188"/>
      <c r="AO83" s="188"/>
      <c r="AP83" s="188"/>
      <c r="AQ83" s="188"/>
      <c r="AR83" s="188"/>
      <c r="AS83" s="188"/>
      <c r="AT83" s="188"/>
      <c r="AU83" s="188"/>
      <c r="AV83" s="188"/>
      <c r="AW83" s="188"/>
      <c r="AX83" s="188"/>
      <c r="AY83" s="188"/>
      <c r="AZ83" s="188"/>
      <c r="BA83" s="188"/>
      <c r="BB83" s="188"/>
      <c r="BC83" s="188"/>
      <c r="BD83" s="188"/>
      <c r="BE83" s="188"/>
      <c r="BF83" s="188"/>
      <c r="BG83" s="188"/>
      <c r="BH83" s="188"/>
      <c r="BI83" s="188"/>
      <c r="BJ83" s="188"/>
      <c r="BK83" s="188"/>
      <c r="BL83" s="188"/>
      <c r="BM83" s="188"/>
      <c r="BN83" s="188"/>
      <c r="BO83" s="188"/>
      <c r="BP83" s="188"/>
    </row>
    <row r="84" spans="1:68" x14ac:dyDescent="0.15">
      <c r="B84" s="170">
        <v>68117</v>
      </c>
      <c r="C84" s="170" t="s">
        <v>391</v>
      </c>
      <c r="D84" s="170" t="s">
        <v>249</v>
      </c>
      <c r="E84" s="170" t="s">
        <v>392</v>
      </c>
      <c r="F84" s="170" t="s">
        <v>165</v>
      </c>
      <c r="G84" s="170" t="s">
        <v>393</v>
      </c>
      <c r="H84" s="170">
        <v>88</v>
      </c>
      <c r="I84" s="169"/>
      <c r="J84" s="170" t="s">
        <v>83</v>
      </c>
      <c r="K84" s="171" t="s">
        <v>83</v>
      </c>
      <c r="L84" s="171" t="s">
        <v>83</v>
      </c>
      <c r="M84" s="171" t="s">
        <v>83</v>
      </c>
      <c r="N84" s="171" t="s">
        <v>83</v>
      </c>
      <c r="O84" s="171" t="s">
        <v>83</v>
      </c>
      <c r="P84" s="171" t="s">
        <v>83</v>
      </c>
      <c r="Q84" s="171" t="s">
        <v>83</v>
      </c>
      <c r="R84" s="171" t="s">
        <v>83</v>
      </c>
      <c r="S84" s="171" t="s">
        <v>83</v>
      </c>
      <c r="T84" s="171" t="s">
        <v>83</v>
      </c>
      <c r="U84" s="171" t="s">
        <v>83</v>
      </c>
      <c r="V84" s="171" t="s">
        <v>83</v>
      </c>
      <c r="W84" s="171" t="s">
        <v>83</v>
      </c>
      <c r="X84" s="171" t="s">
        <v>83</v>
      </c>
      <c r="Y84" s="171" t="s">
        <v>83</v>
      </c>
      <c r="Z84" s="171" t="s">
        <v>83</v>
      </c>
      <c r="AA84" s="171" t="s">
        <v>83</v>
      </c>
      <c r="AB84" s="171" t="s">
        <v>83</v>
      </c>
      <c r="AC84" s="171" t="s">
        <v>83</v>
      </c>
      <c r="AD84" s="171" t="s">
        <v>83</v>
      </c>
      <c r="AE84" s="171" t="s">
        <v>83</v>
      </c>
      <c r="AF84" s="171" t="s">
        <v>83</v>
      </c>
      <c r="AG84" s="171" t="s">
        <v>83</v>
      </c>
      <c r="AH84" s="171" t="s">
        <v>83</v>
      </c>
      <c r="AI84" s="171" t="s">
        <v>83</v>
      </c>
      <c r="AJ84" s="171" t="s">
        <v>83</v>
      </c>
      <c r="AK84" s="171" t="s">
        <v>83</v>
      </c>
      <c r="AL84" s="141"/>
      <c r="AM84" s="188"/>
      <c r="AN84" s="188"/>
      <c r="AO84" s="188"/>
      <c r="AP84" s="188"/>
      <c r="AQ84" s="188"/>
      <c r="AR84" s="188"/>
      <c r="AS84" s="188"/>
      <c r="AT84" s="188"/>
      <c r="AU84" s="188"/>
      <c r="AV84" s="188"/>
      <c r="AW84" s="188"/>
      <c r="AX84" s="188"/>
      <c r="AY84" s="188"/>
      <c r="AZ84" s="188"/>
      <c r="BA84" s="188"/>
      <c r="BB84" s="188"/>
      <c r="BC84" s="188"/>
      <c r="BD84" s="188"/>
      <c r="BE84" s="188"/>
      <c r="BF84" s="188"/>
      <c r="BG84" s="188"/>
      <c r="BH84" s="188"/>
      <c r="BI84" s="188"/>
      <c r="BJ84" s="188"/>
      <c r="BK84" s="188"/>
      <c r="BL84" s="188"/>
      <c r="BM84" s="188"/>
      <c r="BN84" s="188"/>
      <c r="BO84" s="188"/>
      <c r="BP84" s="188"/>
    </row>
    <row r="85" spans="1:68" x14ac:dyDescent="0.15">
      <c r="B85" s="141">
        <v>15459</v>
      </c>
      <c r="C85" s="141" t="s">
        <v>394</v>
      </c>
      <c r="D85" s="141" t="s">
        <v>249</v>
      </c>
      <c r="E85" s="141" t="s">
        <v>392</v>
      </c>
      <c r="F85" s="141" t="s">
        <v>395</v>
      </c>
      <c r="G85" s="141" t="s">
        <v>206</v>
      </c>
      <c r="H85" s="141">
        <v>126</v>
      </c>
      <c r="I85" s="172"/>
      <c r="J85" s="141" t="s">
        <v>83</v>
      </c>
      <c r="K85" s="173" t="s">
        <v>83</v>
      </c>
      <c r="L85" s="173" t="s">
        <v>83</v>
      </c>
      <c r="M85" s="173" t="s">
        <v>83</v>
      </c>
      <c r="N85" s="173" t="s">
        <v>83</v>
      </c>
      <c r="O85" s="173" t="s">
        <v>83</v>
      </c>
      <c r="P85" s="173" t="s">
        <v>83</v>
      </c>
      <c r="Q85" s="173" t="s">
        <v>83</v>
      </c>
      <c r="R85" s="173" t="s">
        <v>83</v>
      </c>
      <c r="S85" s="173" t="s">
        <v>83</v>
      </c>
      <c r="T85" s="173" t="s">
        <v>83</v>
      </c>
      <c r="U85" s="173" t="s">
        <v>83</v>
      </c>
      <c r="V85" s="173" t="s">
        <v>83</v>
      </c>
      <c r="W85" s="173" t="s">
        <v>83</v>
      </c>
      <c r="X85" s="173" t="s">
        <v>83</v>
      </c>
      <c r="Y85" s="173" t="s">
        <v>83</v>
      </c>
      <c r="Z85" s="173" t="s">
        <v>83</v>
      </c>
      <c r="AA85" s="173" t="s">
        <v>83</v>
      </c>
      <c r="AB85" s="173" t="s">
        <v>83</v>
      </c>
      <c r="AC85" s="173" t="s">
        <v>83</v>
      </c>
      <c r="AD85" s="173" t="s">
        <v>83</v>
      </c>
      <c r="AE85" s="173" t="s">
        <v>83</v>
      </c>
      <c r="AF85" s="173" t="s">
        <v>83</v>
      </c>
      <c r="AG85" s="173" t="s">
        <v>83</v>
      </c>
      <c r="AH85" s="173" t="s">
        <v>83</v>
      </c>
      <c r="AI85" s="173" t="s">
        <v>83</v>
      </c>
      <c r="AJ85" s="173" t="s">
        <v>83</v>
      </c>
      <c r="AK85" s="173" t="s">
        <v>83</v>
      </c>
      <c r="AL85" s="141"/>
      <c r="AM85" s="188"/>
      <c r="AN85" s="188"/>
      <c r="AO85" s="188"/>
      <c r="AP85" s="188"/>
      <c r="AQ85" s="188"/>
      <c r="AR85" s="188"/>
      <c r="AS85" s="188"/>
      <c r="AT85" s="188"/>
      <c r="AU85" s="188"/>
      <c r="AV85" s="188"/>
      <c r="AW85" s="188"/>
      <c r="AX85" s="188"/>
      <c r="AY85" s="188"/>
      <c r="AZ85" s="188"/>
      <c r="BA85" s="188"/>
      <c r="BB85" s="188"/>
      <c r="BC85" s="188"/>
      <c r="BD85" s="188"/>
      <c r="BE85" s="188"/>
      <c r="BF85" s="188"/>
      <c r="BG85" s="188"/>
      <c r="BH85" s="188"/>
      <c r="BI85" s="188"/>
      <c r="BJ85" s="188"/>
      <c r="BK85" s="188"/>
      <c r="BL85" s="188"/>
      <c r="BM85" s="188"/>
      <c r="BN85" s="188"/>
      <c r="BO85" s="188"/>
      <c r="BP85" s="188"/>
    </row>
    <row r="86" spans="1:68" x14ac:dyDescent="0.15">
      <c r="B86" s="170">
        <v>36037</v>
      </c>
      <c r="C86" s="170" t="s">
        <v>396</v>
      </c>
      <c r="D86" s="170" t="s">
        <v>249</v>
      </c>
      <c r="E86" s="170" t="s">
        <v>397</v>
      </c>
      <c r="F86" s="170" t="s">
        <v>398</v>
      </c>
      <c r="G86" s="170" t="s">
        <v>398</v>
      </c>
      <c r="H86" s="170">
        <v>104</v>
      </c>
      <c r="I86" s="169"/>
      <c r="J86" s="170" t="s">
        <v>83</v>
      </c>
      <c r="K86" s="171" t="s">
        <v>83</v>
      </c>
      <c r="L86" s="171" t="s">
        <v>83</v>
      </c>
      <c r="M86" s="171" t="s">
        <v>83</v>
      </c>
      <c r="N86" s="171" t="s">
        <v>83</v>
      </c>
      <c r="O86" s="171" t="s">
        <v>83</v>
      </c>
      <c r="P86" s="171" t="s">
        <v>83</v>
      </c>
      <c r="Q86" s="171" t="s">
        <v>83</v>
      </c>
      <c r="R86" s="171" t="s">
        <v>83</v>
      </c>
      <c r="S86" s="171" t="s">
        <v>83</v>
      </c>
      <c r="T86" s="171" t="s">
        <v>83</v>
      </c>
      <c r="U86" s="171" t="s">
        <v>83</v>
      </c>
      <c r="V86" s="171" t="s">
        <v>83</v>
      </c>
      <c r="W86" s="171" t="s">
        <v>83</v>
      </c>
      <c r="X86" s="171" t="s">
        <v>83</v>
      </c>
      <c r="Y86" s="171" t="s">
        <v>83</v>
      </c>
      <c r="Z86" s="171" t="s">
        <v>83</v>
      </c>
      <c r="AA86" s="171" t="s">
        <v>83</v>
      </c>
      <c r="AB86" s="171" t="s">
        <v>83</v>
      </c>
      <c r="AC86" s="171" t="s">
        <v>83</v>
      </c>
      <c r="AD86" s="171" t="s">
        <v>83</v>
      </c>
      <c r="AE86" s="171" t="s">
        <v>83</v>
      </c>
      <c r="AF86" s="171" t="s">
        <v>83</v>
      </c>
      <c r="AG86" s="171" t="s">
        <v>83</v>
      </c>
      <c r="AH86" s="171" t="s">
        <v>83</v>
      </c>
      <c r="AI86" s="171" t="s">
        <v>83</v>
      </c>
      <c r="AJ86" s="171" t="s">
        <v>83</v>
      </c>
      <c r="AK86" s="171" t="s">
        <v>83</v>
      </c>
      <c r="AL86" s="141"/>
      <c r="AM86" s="188"/>
      <c r="AN86" s="188"/>
      <c r="AO86" s="188"/>
      <c r="AP86" s="188"/>
      <c r="AQ86" s="188"/>
      <c r="AR86" s="188"/>
      <c r="AS86" s="188"/>
      <c r="AT86" s="188"/>
      <c r="AU86" s="188"/>
      <c r="AV86" s="188"/>
      <c r="AW86" s="188"/>
      <c r="AX86" s="188"/>
      <c r="AY86" s="188"/>
      <c r="AZ86" s="188"/>
      <c r="BA86" s="188"/>
      <c r="BB86" s="188"/>
      <c r="BC86" s="188"/>
      <c r="BD86" s="188"/>
      <c r="BE86" s="188"/>
      <c r="BF86" s="188"/>
      <c r="BG86" s="188"/>
      <c r="BH86" s="188"/>
      <c r="BI86" s="188"/>
      <c r="BJ86" s="188"/>
      <c r="BK86" s="188"/>
      <c r="BL86" s="188"/>
      <c r="BM86" s="188"/>
      <c r="BN86" s="188"/>
      <c r="BO86" s="188"/>
      <c r="BP86" s="188"/>
    </row>
    <row r="87" spans="1:68" x14ac:dyDescent="0.15">
      <c r="B87" s="141">
        <v>27759</v>
      </c>
      <c r="C87" s="141" t="s">
        <v>399</v>
      </c>
      <c r="D87" s="141" t="s">
        <v>249</v>
      </c>
      <c r="E87" s="141" t="s">
        <v>397</v>
      </c>
      <c r="F87" s="141" t="s">
        <v>302</v>
      </c>
      <c r="G87" s="141" t="s">
        <v>400</v>
      </c>
      <c r="H87" s="141">
        <v>87</v>
      </c>
      <c r="I87" s="172"/>
      <c r="J87" s="141" t="s">
        <v>83</v>
      </c>
      <c r="K87" s="173" t="s">
        <v>83</v>
      </c>
      <c r="L87" s="173" t="s">
        <v>83</v>
      </c>
      <c r="M87" s="173" t="s">
        <v>83</v>
      </c>
      <c r="N87" s="173" t="s">
        <v>83</v>
      </c>
      <c r="O87" s="173" t="s">
        <v>83</v>
      </c>
      <c r="P87" s="173" t="s">
        <v>83</v>
      </c>
      <c r="Q87" s="173" t="s">
        <v>83</v>
      </c>
      <c r="R87" s="173" t="s">
        <v>83</v>
      </c>
      <c r="S87" s="173" t="s">
        <v>83</v>
      </c>
      <c r="T87" s="173" t="s">
        <v>83</v>
      </c>
      <c r="U87" s="173" t="s">
        <v>83</v>
      </c>
      <c r="V87" s="173" t="s">
        <v>83</v>
      </c>
      <c r="W87" s="173" t="s">
        <v>83</v>
      </c>
      <c r="X87" s="173" t="s">
        <v>83</v>
      </c>
      <c r="Y87" s="173" t="s">
        <v>83</v>
      </c>
      <c r="Z87" s="173" t="s">
        <v>83</v>
      </c>
      <c r="AA87" s="173" t="s">
        <v>83</v>
      </c>
      <c r="AB87" s="173" t="s">
        <v>83</v>
      </c>
      <c r="AC87" s="173" t="s">
        <v>83</v>
      </c>
      <c r="AD87" s="173" t="s">
        <v>83</v>
      </c>
      <c r="AE87" s="173" t="s">
        <v>83</v>
      </c>
      <c r="AF87" s="173" t="s">
        <v>83</v>
      </c>
      <c r="AG87" s="173" t="s">
        <v>83</v>
      </c>
      <c r="AH87" s="173" t="s">
        <v>83</v>
      </c>
      <c r="AI87" s="173" t="s">
        <v>83</v>
      </c>
      <c r="AJ87" s="173" t="s">
        <v>83</v>
      </c>
      <c r="AK87" s="173" t="s">
        <v>83</v>
      </c>
      <c r="AL87" s="141"/>
      <c r="AM87" s="188"/>
      <c r="AN87" s="188"/>
      <c r="AO87" s="188"/>
      <c r="AP87" s="188"/>
      <c r="AQ87" s="188"/>
      <c r="AR87" s="188"/>
      <c r="AS87" s="188"/>
      <c r="AT87" s="188"/>
      <c r="AU87" s="188"/>
      <c r="AV87" s="188"/>
      <c r="AW87" s="188"/>
      <c r="AX87" s="188"/>
      <c r="AY87" s="188"/>
      <c r="AZ87" s="188"/>
      <c r="BA87" s="188"/>
      <c r="BB87" s="188"/>
      <c r="BC87" s="188"/>
      <c r="BD87" s="188"/>
      <c r="BE87" s="188"/>
      <c r="BF87" s="188"/>
      <c r="BG87" s="188"/>
      <c r="BH87" s="188"/>
      <c r="BI87" s="188"/>
      <c r="BJ87" s="188"/>
      <c r="BK87" s="188"/>
      <c r="BL87" s="188"/>
      <c r="BM87" s="188"/>
      <c r="BN87" s="188"/>
      <c r="BO87" s="188"/>
      <c r="BP87" s="188"/>
    </row>
    <row r="88" spans="1:68" x14ac:dyDescent="0.15">
      <c r="B88" s="174"/>
      <c r="C88" s="174"/>
      <c r="D88" s="174"/>
      <c r="E88" s="175" t="s">
        <v>114</v>
      </c>
      <c r="F88" s="176"/>
      <c r="G88" s="177">
        <v>80</v>
      </c>
      <c r="H88" s="178">
        <v>3811</v>
      </c>
      <c r="I88" s="174"/>
      <c r="J88" s="179" t="s">
        <v>115</v>
      </c>
      <c r="K88" s="174" t="s">
        <v>116</v>
      </c>
      <c r="L88" s="174"/>
      <c r="M88" s="174"/>
      <c r="N88" s="174"/>
      <c r="O88" s="174"/>
      <c r="P88" s="174"/>
      <c r="Q88" s="174"/>
      <c r="R88" s="174"/>
      <c r="S88" s="174"/>
      <c r="T88" s="174"/>
      <c r="U88" s="174"/>
      <c r="V88" s="174"/>
      <c r="W88" s="174"/>
      <c r="X88" s="174"/>
      <c r="Y88" s="174"/>
      <c r="Z88" s="174"/>
      <c r="AA88" s="174"/>
      <c r="AB88" s="174"/>
      <c r="AC88" s="174"/>
      <c r="AD88" s="174"/>
      <c r="AE88" s="174"/>
      <c r="AF88" s="174"/>
      <c r="AG88" s="174"/>
      <c r="AH88" s="174"/>
      <c r="AI88" s="174"/>
      <c r="AJ88" s="174"/>
      <c r="AK88" s="180"/>
      <c r="AM88" s="188"/>
      <c r="AN88" s="188"/>
      <c r="AO88" s="188"/>
      <c r="AP88" s="188"/>
      <c r="AQ88" s="188"/>
      <c r="AR88" s="188"/>
      <c r="AS88" s="188"/>
      <c r="AT88" s="188"/>
      <c r="AU88" s="188"/>
      <c r="AV88" s="188"/>
      <c r="AW88" s="188"/>
      <c r="AX88" s="188"/>
      <c r="AY88" s="188"/>
      <c r="AZ88" s="188"/>
      <c r="BA88" s="188"/>
      <c r="BB88" s="188"/>
      <c r="BC88" s="188"/>
      <c r="BD88" s="188"/>
      <c r="BE88" s="188"/>
      <c r="BF88" s="188"/>
      <c r="BG88" s="188"/>
      <c r="BH88" s="188"/>
      <c r="BI88" s="188"/>
      <c r="BJ88" s="188"/>
      <c r="BK88" s="188"/>
      <c r="BL88" s="188"/>
      <c r="BM88" s="188"/>
      <c r="BN88" s="188"/>
      <c r="BO88" s="188"/>
      <c r="BP88" s="188"/>
    </row>
    <row r="89" spans="1:68" x14ac:dyDescent="0.15">
      <c r="J89" s="141" t="s">
        <v>88</v>
      </c>
      <c r="K89" t="s">
        <v>117</v>
      </c>
      <c r="AK89" s="182"/>
      <c r="AM89" s="188"/>
      <c r="AN89" s="188"/>
      <c r="AO89" s="188"/>
      <c r="AP89" s="188"/>
      <c r="AQ89" s="188"/>
      <c r="AR89" s="188"/>
      <c r="AS89" s="188"/>
      <c r="AT89" s="188"/>
      <c r="AU89" s="188"/>
      <c r="AV89" s="188"/>
      <c r="AW89" s="188"/>
      <c r="AX89" s="188"/>
      <c r="AY89" s="188"/>
      <c r="AZ89" s="188"/>
      <c r="BA89" s="188"/>
      <c r="BB89" s="188"/>
      <c r="BC89" s="188"/>
      <c r="BD89" s="188"/>
      <c r="BE89" s="188"/>
      <c r="BF89" s="188"/>
      <c r="BG89" s="188"/>
      <c r="BH89" s="188"/>
      <c r="BI89" s="188"/>
      <c r="BJ89" s="188"/>
      <c r="BK89" s="188"/>
      <c r="BL89" s="188"/>
      <c r="BM89" s="188"/>
      <c r="BN89" s="188"/>
      <c r="BO89" s="188"/>
      <c r="BP89" s="188"/>
    </row>
    <row r="90" spans="1:68" x14ac:dyDescent="0.15">
      <c r="J90" s="141" t="s">
        <v>83</v>
      </c>
      <c r="K90" t="s">
        <v>118</v>
      </c>
      <c r="AK90" s="182"/>
      <c r="AM90" s="188"/>
      <c r="AN90" s="188"/>
      <c r="AO90" s="188"/>
      <c r="AP90" s="188"/>
      <c r="AQ90" s="188"/>
      <c r="AR90" s="188"/>
      <c r="AS90" s="188"/>
      <c r="AT90" s="188"/>
      <c r="AU90" s="188"/>
      <c r="AV90" s="188"/>
      <c r="AW90" s="188"/>
      <c r="AX90" s="188"/>
      <c r="AY90" s="188"/>
      <c r="AZ90" s="188"/>
      <c r="BA90" s="188"/>
      <c r="BB90" s="188"/>
      <c r="BC90" s="188"/>
      <c r="BD90" s="188"/>
      <c r="BE90" s="188"/>
      <c r="BF90" s="188"/>
      <c r="BG90" s="188"/>
      <c r="BH90" s="188"/>
      <c r="BI90" s="188"/>
      <c r="BJ90" s="188"/>
      <c r="BK90" s="188"/>
      <c r="BL90" s="188"/>
      <c r="BM90" s="188"/>
      <c r="BN90" s="188"/>
      <c r="BO90" s="188"/>
      <c r="BP90" s="188"/>
    </row>
    <row r="91" spans="1:68" x14ac:dyDescent="0.15">
      <c r="J91" s="141" t="s">
        <v>119</v>
      </c>
      <c r="AK91" s="182"/>
      <c r="AM91" s="188"/>
      <c r="AN91" s="188"/>
      <c r="AO91" s="188"/>
      <c r="AP91" s="188"/>
      <c r="AQ91" s="188"/>
      <c r="AR91" s="188"/>
      <c r="AS91" s="188"/>
      <c r="AT91" s="188"/>
      <c r="AU91" s="188"/>
      <c r="AV91" s="188"/>
      <c r="AW91" s="188"/>
      <c r="AX91" s="188"/>
      <c r="AY91" s="188"/>
      <c r="AZ91" s="188"/>
      <c r="BA91" s="188"/>
      <c r="BB91" s="188"/>
      <c r="BC91" s="188"/>
      <c r="BD91" s="188"/>
      <c r="BE91" s="188"/>
      <c r="BF91" s="188"/>
      <c r="BG91" s="188"/>
      <c r="BH91" s="188"/>
      <c r="BI91" s="188"/>
      <c r="BJ91" s="188"/>
      <c r="BK91" s="188"/>
      <c r="BL91" s="188"/>
      <c r="BM91" s="188"/>
      <c r="BN91" s="188"/>
      <c r="BO91" s="188"/>
      <c r="BP91" s="188"/>
    </row>
    <row r="92" spans="1:68" x14ac:dyDescent="0.15">
      <c r="J92" s="183" t="s">
        <v>87</v>
      </c>
      <c r="K92" s="181" t="s">
        <v>120</v>
      </c>
      <c r="L92" s="184"/>
      <c r="M92" s="184"/>
      <c r="N92" s="184"/>
      <c r="O92" s="184"/>
      <c r="P92" s="184"/>
      <c r="Q92" s="184"/>
      <c r="R92" s="184"/>
      <c r="S92" s="184"/>
      <c r="T92" s="184"/>
      <c r="U92" s="184"/>
      <c r="V92" s="184"/>
      <c r="W92" s="184"/>
      <c r="X92" s="184"/>
      <c r="Y92" s="184"/>
      <c r="Z92" s="184"/>
      <c r="AA92" s="184"/>
      <c r="AB92" s="184"/>
      <c r="AC92" s="184"/>
      <c r="AD92" s="184"/>
      <c r="AE92" s="184"/>
      <c r="AF92" s="184"/>
      <c r="AG92" s="184"/>
      <c r="AH92" s="184"/>
      <c r="AI92" s="184"/>
      <c r="AJ92" s="184"/>
      <c r="AK92" s="185"/>
      <c r="AM92" s="188"/>
      <c r="AN92" s="188"/>
      <c r="AO92" s="188"/>
      <c r="AP92" s="188"/>
      <c r="AQ92" s="188"/>
      <c r="AR92" s="188"/>
      <c r="AS92" s="188"/>
      <c r="AT92" s="188"/>
      <c r="AU92" s="188"/>
      <c r="AV92" s="188"/>
      <c r="AW92" s="188"/>
      <c r="AX92" s="188"/>
      <c r="AY92" s="188"/>
      <c r="AZ92" s="188"/>
      <c r="BA92" s="188"/>
      <c r="BB92" s="188"/>
      <c r="BC92" s="188"/>
      <c r="BD92" s="188"/>
      <c r="BE92" s="188"/>
      <c r="BF92" s="188"/>
      <c r="BG92" s="188"/>
      <c r="BH92" s="188"/>
      <c r="BI92" s="188"/>
      <c r="BJ92" s="188"/>
      <c r="BK92" s="188"/>
      <c r="BL92" s="188"/>
      <c r="BM92" s="188"/>
      <c r="BN92" s="188"/>
      <c r="BO92" s="188"/>
      <c r="BP92" s="188"/>
    </row>
    <row r="93" spans="1:68" x14ac:dyDescent="0.15">
      <c r="B93" s="190" t="s">
        <v>59</v>
      </c>
      <c r="AJ93" s="186"/>
      <c r="AM93" s="188"/>
      <c r="AN93" s="188"/>
      <c r="AO93" s="188"/>
      <c r="AP93" s="188"/>
      <c r="AQ93" s="188"/>
      <c r="AR93" s="188"/>
      <c r="AS93" s="188"/>
      <c r="AT93" s="188"/>
      <c r="AU93" s="188"/>
      <c r="AV93" s="188"/>
      <c r="AW93" s="188"/>
      <c r="AX93" s="188"/>
      <c r="AY93" s="188"/>
      <c r="AZ93" s="188"/>
      <c r="BA93" s="188"/>
      <c r="BB93" s="188"/>
      <c r="BC93" s="188"/>
      <c r="BD93" s="188"/>
      <c r="BE93" s="188"/>
      <c r="BF93" s="188"/>
      <c r="BG93" s="188"/>
      <c r="BH93" s="188"/>
      <c r="BI93" s="188"/>
      <c r="BJ93" s="188"/>
      <c r="BK93" s="188"/>
      <c r="BL93" s="188"/>
      <c r="BM93" s="188"/>
      <c r="BN93" s="188"/>
      <c r="BO93" s="188"/>
      <c r="BP93" s="188"/>
    </row>
    <row r="94" spans="1:68" x14ac:dyDescent="0.15">
      <c r="A94" s="160"/>
      <c r="B94" s="201" t="s">
        <v>10</v>
      </c>
      <c r="C94" s="202"/>
      <c r="D94" s="202"/>
      <c r="E94" s="202"/>
      <c r="F94" s="202"/>
      <c r="G94" s="202"/>
      <c r="H94" s="202"/>
      <c r="I94" s="202"/>
      <c r="J94" s="202"/>
      <c r="K94" s="202"/>
      <c r="L94" s="202"/>
      <c r="M94" s="202"/>
      <c r="N94" s="202"/>
      <c r="O94" s="202"/>
      <c r="P94" s="202"/>
      <c r="Q94" s="202"/>
      <c r="R94" s="202"/>
      <c r="S94" s="202"/>
      <c r="T94" s="202"/>
      <c r="U94" s="202"/>
      <c r="V94" s="202"/>
      <c r="W94" s="202"/>
      <c r="X94" s="202"/>
      <c r="Y94" s="202"/>
      <c r="Z94" s="202"/>
      <c r="AA94" s="202"/>
      <c r="AB94" s="202"/>
      <c r="AC94" s="202"/>
      <c r="AD94" s="202"/>
      <c r="AE94" s="202"/>
      <c r="AF94" s="202"/>
      <c r="AG94" s="202"/>
      <c r="AH94" s="202"/>
      <c r="AI94" s="202"/>
      <c r="AJ94" s="202"/>
      <c r="AK94" s="202"/>
      <c r="AL94" s="202"/>
      <c r="AM94" s="188"/>
      <c r="AN94" s="188"/>
      <c r="AO94" s="188"/>
      <c r="AP94" s="188"/>
      <c r="AQ94" s="188"/>
      <c r="AR94" s="188"/>
      <c r="AS94" s="188"/>
      <c r="AT94" s="188"/>
      <c r="AU94" s="188"/>
      <c r="AV94" s="188"/>
      <c r="AW94" s="188"/>
      <c r="AX94" s="188"/>
      <c r="AY94" s="188"/>
      <c r="AZ94" s="188"/>
      <c r="BA94" s="188"/>
      <c r="BB94" s="188"/>
      <c r="BC94" s="188"/>
      <c r="BD94" s="188"/>
      <c r="BE94" s="188"/>
      <c r="BF94" s="188"/>
      <c r="BG94" s="188"/>
      <c r="BH94" s="188"/>
      <c r="BI94" s="188"/>
      <c r="BJ94" s="188"/>
      <c r="BK94" s="188"/>
      <c r="BL94" s="188"/>
      <c r="BM94" s="188"/>
      <c r="BN94" s="188"/>
      <c r="BO94" s="188"/>
      <c r="BP94" s="188"/>
    </row>
    <row r="95" spans="1:68" x14ac:dyDescent="0.15">
      <c r="A95" s="160"/>
      <c r="B95" s="217"/>
      <c r="C95" s="217"/>
      <c r="D95" s="217"/>
      <c r="E95" s="217"/>
      <c r="F95" s="217"/>
      <c r="G95" s="217"/>
      <c r="H95" s="217"/>
      <c r="I95" s="217"/>
      <c r="J95" s="217"/>
      <c r="K95" s="217"/>
      <c r="L95" s="217"/>
      <c r="M95" s="217"/>
      <c r="N95" s="217"/>
      <c r="O95" s="217"/>
      <c r="P95" s="217"/>
      <c r="Q95" s="217"/>
      <c r="R95" s="217"/>
      <c r="S95" s="217"/>
      <c r="T95" s="217"/>
      <c r="U95" s="217"/>
      <c r="V95" s="217"/>
      <c r="W95" s="217"/>
      <c r="X95" s="217"/>
      <c r="Y95" s="217"/>
      <c r="Z95" s="217"/>
      <c r="AA95" s="217"/>
      <c r="AB95" s="217"/>
      <c r="AC95" s="217"/>
      <c r="AD95" s="217"/>
      <c r="AE95" s="217"/>
      <c r="AF95" s="217"/>
      <c r="AG95" s="217"/>
      <c r="AH95" s="217"/>
      <c r="AI95" s="217"/>
      <c r="AJ95" s="217"/>
      <c r="AK95" s="217"/>
      <c r="AL95" s="217"/>
      <c r="AM95" s="188"/>
      <c r="AN95" s="188"/>
      <c r="AO95" s="188"/>
      <c r="AP95" s="188"/>
      <c r="AQ95" s="188"/>
      <c r="AR95" s="188"/>
      <c r="AS95" s="188"/>
      <c r="AT95" s="188"/>
      <c r="AU95" s="188"/>
      <c r="AV95" s="188"/>
      <c r="AW95" s="188"/>
      <c r="AX95" s="188"/>
      <c r="AY95" s="188"/>
      <c r="AZ95" s="188"/>
      <c r="BA95" s="188"/>
      <c r="BB95" s="188"/>
      <c r="BC95" s="188"/>
      <c r="BD95" s="188"/>
      <c r="BE95" s="188"/>
      <c r="BF95" s="188"/>
      <c r="BG95" s="188"/>
      <c r="BH95" s="188"/>
      <c r="BI95" s="188"/>
      <c r="BJ95" s="188"/>
      <c r="BK95" s="188"/>
      <c r="BL95" s="188"/>
      <c r="BM95" s="188"/>
      <c r="BN95" s="188"/>
      <c r="BO95" s="188"/>
      <c r="BP95" s="188"/>
    </row>
    <row r="96" spans="1:68" x14ac:dyDescent="0.15">
      <c r="A96" s="160"/>
      <c r="B96" s="217"/>
      <c r="C96" s="217"/>
      <c r="D96" s="217"/>
      <c r="E96" s="217"/>
      <c r="F96" s="217"/>
      <c r="G96" s="217"/>
      <c r="H96" s="217"/>
      <c r="I96" s="217"/>
      <c r="J96" s="217"/>
      <c r="K96" s="217"/>
      <c r="L96" s="217"/>
      <c r="M96" s="217"/>
      <c r="N96" s="217"/>
      <c r="O96" s="217"/>
      <c r="P96" s="217"/>
      <c r="Q96" s="217"/>
      <c r="R96" s="217"/>
      <c r="S96" s="217"/>
      <c r="T96" s="217"/>
      <c r="U96" s="217"/>
      <c r="V96" s="217"/>
      <c r="W96" s="217"/>
      <c r="X96" s="217"/>
      <c r="Y96" s="217"/>
      <c r="Z96" s="217"/>
      <c r="AA96" s="217"/>
      <c r="AB96" s="217"/>
      <c r="AC96" s="217"/>
      <c r="AD96" s="217"/>
      <c r="AE96" s="217"/>
      <c r="AF96" s="217"/>
      <c r="AG96" s="217"/>
      <c r="AH96" s="217"/>
      <c r="AI96" s="217"/>
      <c r="AJ96" s="217"/>
      <c r="AK96" s="217"/>
      <c r="AL96" s="217"/>
      <c r="AM96" s="188"/>
      <c r="AN96" s="188"/>
      <c r="AO96" s="188"/>
      <c r="AP96" s="188"/>
      <c r="AQ96" s="188"/>
      <c r="AR96" s="188"/>
      <c r="AS96" s="188"/>
      <c r="AT96" s="188"/>
      <c r="AU96" s="188"/>
      <c r="AV96" s="188"/>
      <c r="AW96" s="188"/>
      <c r="AX96" s="188"/>
      <c r="AY96" s="188"/>
      <c r="AZ96" s="188"/>
      <c r="BA96" s="188"/>
      <c r="BB96" s="188"/>
      <c r="BC96" s="188"/>
      <c r="BD96" s="188"/>
      <c r="BE96" s="188"/>
      <c r="BF96" s="188"/>
      <c r="BG96" s="188"/>
      <c r="BH96" s="188"/>
      <c r="BI96" s="188"/>
      <c r="BJ96" s="188"/>
      <c r="BK96" s="188"/>
      <c r="BL96" s="188"/>
      <c r="BM96" s="188"/>
      <c r="BN96" s="188"/>
      <c r="BO96" s="188"/>
      <c r="BP96" s="188"/>
    </row>
    <row r="97" spans="1:68" x14ac:dyDescent="0.15">
      <c r="A97" s="188"/>
      <c r="B97" s="188"/>
      <c r="C97" s="188"/>
      <c r="D97" s="188"/>
      <c r="E97" s="188"/>
      <c r="F97" s="188"/>
      <c r="G97" s="188"/>
      <c r="H97" s="188"/>
      <c r="I97" s="188"/>
      <c r="J97" s="188"/>
      <c r="K97" s="188"/>
      <c r="L97" s="188"/>
      <c r="M97" s="188"/>
      <c r="N97" s="188"/>
      <c r="O97" s="188"/>
      <c r="P97" s="188"/>
      <c r="Q97" s="188"/>
      <c r="R97" s="188"/>
      <c r="S97" s="188"/>
      <c r="T97" s="188"/>
      <c r="U97" s="188"/>
      <c r="V97" s="188"/>
      <c r="W97" s="188"/>
      <c r="X97" s="188"/>
      <c r="Y97" s="188"/>
      <c r="Z97" s="188"/>
      <c r="AA97" s="188"/>
      <c r="AB97" s="188"/>
      <c r="AC97" s="188"/>
      <c r="AD97" s="188"/>
      <c r="AE97" s="188"/>
      <c r="AF97" s="188"/>
      <c r="AG97" s="188"/>
      <c r="AH97" s="188"/>
      <c r="AI97" s="188"/>
      <c r="AJ97" s="188"/>
      <c r="AK97" s="188"/>
      <c r="AL97" s="188"/>
      <c r="AM97" s="188"/>
      <c r="AN97" s="188"/>
      <c r="AO97" s="188"/>
      <c r="AP97" s="188"/>
      <c r="AQ97" s="188"/>
      <c r="AR97" s="188"/>
      <c r="AS97" s="188"/>
      <c r="AT97" s="188"/>
      <c r="AU97" s="188"/>
      <c r="AV97" s="188"/>
      <c r="AW97" s="188"/>
      <c r="AX97" s="188"/>
      <c r="AY97" s="188"/>
      <c r="AZ97" s="188"/>
      <c r="BA97" s="188"/>
      <c r="BB97" s="188"/>
      <c r="BC97" s="188"/>
      <c r="BD97" s="188"/>
      <c r="BE97" s="188"/>
      <c r="BF97" s="188"/>
      <c r="BG97" s="188"/>
      <c r="BH97" s="188"/>
      <c r="BI97" s="188"/>
      <c r="BJ97" s="188"/>
      <c r="BK97" s="188"/>
      <c r="BL97" s="188"/>
      <c r="BM97" s="188"/>
      <c r="BN97" s="188"/>
      <c r="BO97" s="188"/>
      <c r="BP97" s="188"/>
    </row>
    <row r="98" spans="1:68" x14ac:dyDescent="0.15">
      <c r="A98" s="188"/>
      <c r="B98" s="188"/>
      <c r="C98" s="188"/>
      <c r="D98" s="188"/>
      <c r="E98" s="188"/>
      <c r="F98" s="188"/>
      <c r="G98" s="188"/>
      <c r="H98" s="188"/>
      <c r="I98" s="188"/>
      <c r="J98" s="188"/>
      <c r="K98" s="188"/>
      <c r="L98" s="188"/>
      <c r="M98" s="188"/>
      <c r="N98" s="188"/>
      <c r="O98" s="188"/>
      <c r="P98" s="188"/>
      <c r="Q98" s="188"/>
      <c r="R98" s="188"/>
      <c r="S98" s="188"/>
      <c r="T98" s="188"/>
      <c r="U98" s="188"/>
      <c r="V98" s="188"/>
      <c r="W98" s="188"/>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88"/>
      <c r="AX98" s="188"/>
      <c r="AY98" s="188"/>
      <c r="AZ98" s="188"/>
      <c r="BA98" s="188"/>
      <c r="BB98" s="188"/>
      <c r="BC98" s="188"/>
      <c r="BD98" s="188"/>
      <c r="BE98" s="188"/>
      <c r="BF98" s="188"/>
      <c r="BG98" s="188"/>
      <c r="BH98" s="188"/>
      <c r="BI98" s="188"/>
      <c r="BJ98" s="188"/>
      <c r="BK98" s="188"/>
      <c r="BL98" s="188"/>
      <c r="BM98" s="188"/>
      <c r="BN98" s="188"/>
      <c r="BO98" s="188"/>
      <c r="BP98" s="188"/>
    </row>
    <row r="99" spans="1:68" x14ac:dyDescent="0.15">
      <c r="A99" s="188"/>
      <c r="B99" s="188"/>
      <c r="C99" s="188"/>
      <c r="D99" s="188"/>
      <c r="E99" s="188"/>
      <c r="F99" s="188"/>
      <c r="G99" s="188"/>
      <c r="H99" s="188"/>
      <c r="I99" s="188"/>
      <c r="J99" s="188"/>
      <c r="K99" s="188"/>
      <c r="L99" s="188"/>
      <c r="M99" s="188"/>
      <c r="N99" s="188"/>
      <c r="O99" s="188"/>
      <c r="P99" s="188"/>
      <c r="Q99" s="188"/>
      <c r="R99" s="188"/>
      <c r="S99" s="188"/>
      <c r="T99" s="188"/>
      <c r="U99" s="188"/>
      <c r="V99" s="188"/>
      <c r="W99" s="188"/>
      <c r="X99" s="188"/>
      <c r="Y99" s="188"/>
      <c r="Z99" s="188"/>
      <c r="AA99" s="188"/>
      <c r="AB99" s="188"/>
      <c r="AC99" s="188"/>
      <c r="AD99" s="188"/>
      <c r="AE99" s="188"/>
      <c r="AF99" s="188"/>
      <c r="AG99" s="188"/>
      <c r="AH99" s="188"/>
      <c r="AI99" s="188"/>
      <c r="AJ99" s="188"/>
      <c r="AK99" s="188"/>
      <c r="AL99" s="188"/>
      <c r="AM99" s="188"/>
      <c r="AN99" s="188"/>
      <c r="AO99" s="188"/>
      <c r="AP99" s="188"/>
      <c r="AQ99" s="188"/>
      <c r="AR99" s="188"/>
      <c r="AS99" s="188"/>
      <c r="AT99" s="188"/>
      <c r="AU99" s="188"/>
      <c r="AV99" s="188"/>
      <c r="AW99" s="188"/>
      <c r="AX99" s="188"/>
      <c r="AY99" s="188"/>
      <c r="AZ99" s="188"/>
      <c r="BA99" s="188"/>
      <c r="BB99" s="188"/>
      <c r="BC99" s="188"/>
      <c r="BD99" s="188"/>
      <c r="BE99" s="188"/>
      <c r="BF99" s="188"/>
      <c r="BG99" s="188"/>
      <c r="BH99" s="188"/>
      <c r="BI99" s="188"/>
      <c r="BJ99" s="188"/>
      <c r="BK99" s="188"/>
      <c r="BL99" s="188"/>
      <c r="BM99" s="188"/>
      <c r="BN99" s="188"/>
      <c r="BO99" s="188"/>
      <c r="BP99" s="188"/>
    </row>
    <row r="100" spans="1:68" x14ac:dyDescent="0.15">
      <c r="A100" s="188"/>
      <c r="B100" s="188"/>
      <c r="C100" s="188"/>
      <c r="D100" s="188"/>
      <c r="E100" s="188"/>
      <c r="F100" s="188"/>
      <c r="G100" s="188"/>
      <c r="H100" s="188"/>
      <c r="I100" s="188"/>
      <c r="J100" s="188"/>
      <c r="K100" s="188"/>
      <c r="L100" s="188"/>
      <c r="M100" s="188"/>
      <c r="N100" s="188"/>
      <c r="O100" s="188"/>
      <c r="P100" s="188"/>
      <c r="Q100" s="188"/>
      <c r="R100" s="188"/>
      <c r="S100" s="188"/>
      <c r="T100" s="188"/>
      <c r="U100" s="188"/>
      <c r="V100" s="188"/>
      <c r="W100" s="188"/>
      <c r="X100" s="188"/>
      <c r="Y100" s="188"/>
      <c r="Z100" s="188"/>
      <c r="AA100" s="188"/>
      <c r="AB100" s="188"/>
      <c r="AC100" s="188"/>
      <c r="AD100" s="188"/>
      <c r="AE100" s="188"/>
      <c r="AF100" s="188"/>
      <c r="AG100" s="188"/>
      <c r="AH100" s="188"/>
      <c r="AI100" s="188"/>
      <c r="AJ100" s="188"/>
      <c r="AK100" s="188"/>
      <c r="AL100" s="188"/>
      <c r="AM100" s="188"/>
      <c r="AN100" s="188"/>
      <c r="AO100" s="188"/>
      <c r="AP100" s="188"/>
      <c r="AQ100" s="188"/>
      <c r="AR100" s="188"/>
      <c r="AS100" s="188"/>
      <c r="AT100" s="188"/>
      <c r="AU100" s="188"/>
      <c r="AV100" s="188"/>
      <c r="AW100" s="188"/>
      <c r="AX100" s="188"/>
      <c r="AY100" s="188"/>
      <c r="AZ100" s="188"/>
      <c r="BA100" s="188"/>
      <c r="BB100" s="188"/>
      <c r="BC100" s="188"/>
      <c r="BD100" s="188"/>
      <c r="BE100" s="188"/>
      <c r="BF100" s="188"/>
      <c r="BG100" s="188"/>
      <c r="BH100" s="188"/>
      <c r="BI100" s="188"/>
      <c r="BJ100" s="188"/>
      <c r="BK100" s="188"/>
      <c r="BL100" s="188"/>
      <c r="BM100" s="188"/>
      <c r="BN100" s="188"/>
      <c r="BO100" s="188"/>
      <c r="BP100" s="188"/>
    </row>
    <row r="101" spans="1:68" x14ac:dyDescent="0.15">
      <c r="A101" s="188"/>
      <c r="B101" s="188"/>
      <c r="C101" s="188"/>
      <c r="D101" s="188"/>
      <c r="E101" s="188"/>
      <c r="F101" s="188"/>
      <c r="G101" s="188"/>
      <c r="H101" s="188"/>
      <c r="I101" s="188"/>
      <c r="J101" s="188"/>
      <c r="K101" s="188"/>
      <c r="L101" s="188"/>
      <c r="M101" s="188"/>
      <c r="N101" s="188"/>
      <c r="O101" s="188"/>
      <c r="P101" s="188"/>
      <c r="Q101" s="188"/>
      <c r="R101" s="188"/>
      <c r="S101" s="188"/>
      <c r="T101" s="188"/>
      <c r="U101" s="188"/>
      <c r="V101" s="188"/>
      <c r="W101" s="188"/>
      <c r="X101" s="188"/>
      <c r="Y101" s="188"/>
      <c r="Z101" s="188"/>
      <c r="AA101" s="188"/>
      <c r="AB101" s="188"/>
      <c r="AC101" s="188"/>
      <c r="AD101" s="188"/>
      <c r="AE101" s="188"/>
      <c r="AF101" s="188"/>
      <c r="AG101" s="188"/>
      <c r="AH101" s="188"/>
      <c r="AI101" s="188"/>
      <c r="AJ101" s="188"/>
      <c r="AK101" s="188"/>
      <c r="AL101" s="188"/>
      <c r="AM101" s="188"/>
      <c r="AN101" s="188"/>
      <c r="AO101" s="188"/>
      <c r="AP101" s="188"/>
      <c r="AQ101" s="188"/>
      <c r="AR101" s="188"/>
      <c r="AS101" s="188"/>
      <c r="AT101" s="188"/>
      <c r="AU101" s="188"/>
      <c r="AV101" s="188"/>
      <c r="AW101" s="188"/>
      <c r="AX101" s="188"/>
      <c r="AY101" s="188"/>
      <c r="AZ101" s="188"/>
      <c r="BA101" s="188"/>
      <c r="BB101" s="188"/>
      <c r="BC101" s="188"/>
      <c r="BD101" s="188"/>
      <c r="BE101" s="188"/>
      <c r="BF101" s="188"/>
      <c r="BG101" s="188"/>
      <c r="BH101" s="188"/>
      <c r="BI101" s="188"/>
      <c r="BJ101" s="188"/>
      <c r="BK101" s="188"/>
      <c r="BL101" s="188"/>
      <c r="BM101" s="188"/>
      <c r="BN101" s="188"/>
      <c r="BO101" s="188"/>
      <c r="BP101" s="188"/>
    </row>
    <row r="102" spans="1:68" x14ac:dyDescent="0.15">
      <c r="A102" s="188"/>
      <c r="B102" s="188"/>
      <c r="C102" s="188"/>
      <c r="D102" s="188"/>
      <c r="E102" s="188"/>
      <c r="F102" s="188"/>
      <c r="G102" s="188"/>
      <c r="H102" s="188"/>
      <c r="I102" s="188"/>
      <c r="J102" s="188"/>
      <c r="K102" s="188"/>
      <c r="L102" s="188"/>
      <c r="M102" s="188"/>
      <c r="N102" s="188"/>
      <c r="O102" s="188"/>
      <c r="P102" s="188"/>
      <c r="Q102" s="188"/>
      <c r="R102" s="188"/>
      <c r="S102" s="188"/>
      <c r="T102" s="188"/>
      <c r="U102" s="188"/>
      <c r="V102" s="188"/>
      <c r="W102" s="188"/>
      <c r="X102" s="188"/>
      <c r="Y102" s="188"/>
      <c r="Z102" s="188"/>
      <c r="AA102" s="188"/>
      <c r="AB102" s="188"/>
      <c r="AC102" s="188"/>
      <c r="AD102" s="188"/>
      <c r="AE102" s="188"/>
      <c r="AF102" s="188"/>
      <c r="AG102" s="188"/>
      <c r="AH102" s="188"/>
      <c r="AI102" s="188"/>
      <c r="AJ102" s="188"/>
      <c r="AK102" s="188"/>
      <c r="AL102" s="188"/>
      <c r="AM102" s="188"/>
      <c r="AN102" s="188"/>
      <c r="AO102" s="188"/>
      <c r="AP102" s="188"/>
      <c r="AQ102" s="188"/>
      <c r="AR102" s="188"/>
      <c r="AS102" s="188"/>
      <c r="AT102" s="188"/>
      <c r="AU102" s="188"/>
      <c r="AV102" s="188"/>
      <c r="AW102" s="188"/>
      <c r="AX102" s="188"/>
      <c r="AY102" s="188"/>
      <c r="AZ102" s="188"/>
      <c r="BA102" s="188"/>
      <c r="BB102" s="188"/>
      <c r="BC102" s="188"/>
      <c r="BD102" s="188"/>
      <c r="BE102" s="188"/>
      <c r="BF102" s="188"/>
      <c r="BG102" s="188"/>
      <c r="BH102" s="188"/>
      <c r="BI102" s="188"/>
      <c r="BJ102" s="188"/>
      <c r="BK102" s="188"/>
      <c r="BL102" s="188"/>
      <c r="BM102" s="188"/>
      <c r="BN102" s="188"/>
      <c r="BO102" s="188"/>
      <c r="BP102" s="188"/>
    </row>
    <row r="103" spans="1:68" x14ac:dyDescent="0.15">
      <c r="A103" s="188"/>
      <c r="B103" s="188"/>
      <c r="C103" s="188"/>
      <c r="D103" s="188"/>
      <c r="E103" s="188"/>
      <c r="F103" s="188"/>
      <c r="G103" s="188"/>
      <c r="H103" s="188"/>
      <c r="I103" s="188"/>
      <c r="J103" s="188"/>
      <c r="K103" s="188"/>
      <c r="L103" s="188"/>
      <c r="M103" s="188"/>
      <c r="N103" s="188"/>
      <c r="O103" s="188"/>
      <c r="P103" s="188"/>
      <c r="Q103" s="188"/>
      <c r="R103" s="188"/>
      <c r="S103" s="188"/>
      <c r="T103" s="188"/>
      <c r="U103" s="188"/>
      <c r="V103" s="188"/>
      <c r="W103" s="188"/>
      <c r="X103" s="188"/>
      <c r="Y103" s="188"/>
      <c r="Z103" s="188"/>
      <c r="AA103" s="188"/>
      <c r="AB103" s="188"/>
      <c r="AC103" s="188"/>
      <c r="AD103" s="188"/>
      <c r="AE103" s="188"/>
      <c r="AF103" s="188"/>
      <c r="AG103" s="188"/>
      <c r="AH103" s="188"/>
      <c r="AI103" s="188"/>
      <c r="AJ103" s="188"/>
      <c r="AK103" s="188"/>
      <c r="AL103" s="188"/>
      <c r="AM103" s="188"/>
      <c r="AN103" s="188"/>
      <c r="AO103" s="188"/>
      <c r="AP103" s="188"/>
      <c r="AQ103" s="188"/>
      <c r="AR103" s="188"/>
      <c r="AS103" s="188"/>
      <c r="AT103" s="188"/>
      <c r="AU103" s="188"/>
      <c r="AV103" s="188"/>
      <c r="AW103" s="188"/>
      <c r="AX103" s="188"/>
      <c r="AY103" s="188"/>
      <c r="AZ103" s="188"/>
      <c r="BA103" s="188"/>
      <c r="BB103" s="188"/>
      <c r="BC103" s="188"/>
      <c r="BD103" s="188"/>
      <c r="BE103" s="188"/>
      <c r="BF103" s="188"/>
      <c r="BG103" s="188"/>
      <c r="BH103" s="188"/>
      <c r="BI103" s="188"/>
      <c r="BJ103" s="188"/>
      <c r="BK103" s="188"/>
      <c r="BL103" s="188"/>
      <c r="BM103" s="188"/>
      <c r="BN103" s="188"/>
      <c r="BO103" s="188"/>
      <c r="BP103" s="188"/>
    </row>
    <row r="104" spans="1:68" x14ac:dyDescent="0.15">
      <c r="A104" s="188"/>
      <c r="B104" s="188"/>
      <c r="C104" s="188"/>
      <c r="D104" s="188"/>
      <c r="E104" s="188"/>
      <c r="F104" s="188"/>
      <c r="G104" s="188"/>
      <c r="H104" s="188"/>
      <c r="I104" s="188"/>
      <c r="J104" s="188"/>
      <c r="K104" s="188"/>
      <c r="L104" s="188"/>
      <c r="M104" s="188"/>
      <c r="N104" s="188"/>
      <c r="O104" s="188"/>
      <c r="P104" s="188"/>
      <c r="Q104" s="188"/>
      <c r="R104" s="188"/>
      <c r="S104" s="188"/>
      <c r="T104" s="188"/>
      <c r="U104" s="188"/>
      <c r="V104" s="188"/>
      <c r="W104" s="188"/>
      <c r="X104" s="188"/>
      <c r="Y104" s="188"/>
      <c r="Z104" s="188"/>
      <c r="AA104" s="188"/>
      <c r="AB104" s="188"/>
      <c r="AC104" s="188"/>
      <c r="AD104" s="188"/>
      <c r="AE104" s="188"/>
      <c r="AF104" s="188"/>
      <c r="AG104" s="188"/>
      <c r="AH104" s="188"/>
      <c r="AI104" s="188"/>
      <c r="AJ104" s="188"/>
      <c r="AK104" s="188"/>
      <c r="AL104" s="188"/>
      <c r="AM104" s="188"/>
      <c r="AN104" s="188"/>
      <c r="AO104" s="188"/>
      <c r="AP104" s="188"/>
      <c r="AQ104" s="188"/>
      <c r="AR104" s="188"/>
      <c r="AS104" s="188"/>
      <c r="AT104" s="188"/>
      <c r="AU104" s="188"/>
      <c r="AV104" s="188"/>
      <c r="AW104" s="188"/>
      <c r="AX104" s="188"/>
      <c r="AY104" s="188"/>
      <c r="AZ104" s="188"/>
      <c r="BA104" s="188"/>
      <c r="BB104" s="188"/>
      <c r="BC104" s="188"/>
      <c r="BD104" s="188"/>
      <c r="BE104" s="188"/>
      <c r="BF104" s="188"/>
      <c r="BG104" s="188"/>
      <c r="BH104" s="188"/>
      <c r="BI104" s="188"/>
      <c r="BJ104" s="188"/>
      <c r="BK104" s="188"/>
      <c r="BL104" s="188"/>
      <c r="BM104" s="188"/>
      <c r="BN104" s="188"/>
      <c r="BO104" s="188"/>
      <c r="BP104" s="188"/>
    </row>
    <row r="105" spans="1:68" x14ac:dyDescent="0.15">
      <c r="A105" s="188"/>
      <c r="B105" s="188"/>
      <c r="C105" s="188"/>
      <c r="D105" s="188"/>
      <c r="E105" s="188"/>
      <c r="F105" s="188"/>
      <c r="G105" s="188"/>
      <c r="H105" s="188"/>
      <c r="I105" s="188"/>
      <c r="J105" s="188"/>
      <c r="K105" s="188"/>
      <c r="L105" s="188"/>
      <c r="M105" s="188"/>
      <c r="N105" s="188"/>
      <c r="O105" s="188"/>
      <c r="P105" s="188"/>
      <c r="Q105" s="188"/>
      <c r="R105" s="188"/>
      <c r="S105" s="188"/>
      <c r="T105" s="188"/>
      <c r="U105" s="188"/>
      <c r="V105" s="188"/>
      <c r="W105" s="188"/>
      <c r="X105" s="188"/>
      <c r="Y105" s="188"/>
      <c r="Z105" s="188"/>
      <c r="AA105" s="188"/>
      <c r="AB105" s="188"/>
      <c r="AC105" s="188"/>
      <c r="AD105" s="188"/>
      <c r="AE105" s="188"/>
      <c r="AF105" s="188"/>
      <c r="AG105" s="188"/>
      <c r="AH105" s="188"/>
      <c r="AI105" s="188"/>
      <c r="AJ105" s="188"/>
      <c r="AK105" s="188"/>
      <c r="AL105" s="188"/>
      <c r="AM105" s="188"/>
      <c r="AN105" s="188"/>
      <c r="AO105" s="188"/>
      <c r="AP105" s="188"/>
      <c r="AQ105" s="188"/>
      <c r="AR105" s="188"/>
      <c r="AS105" s="188"/>
      <c r="AT105" s="188"/>
      <c r="AU105" s="188"/>
      <c r="AV105" s="188"/>
      <c r="AW105" s="188"/>
      <c r="AX105" s="188"/>
      <c r="AY105" s="188"/>
      <c r="AZ105" s="188"/>
      <c r="BA105" s="188"/>
      <c r="BB105" s="188"/>
      <c r="BC105" s="188"/>
      <c r="BD105" s="188"/>
      <c r="BE105" s="188"/>
      <c r="BF105" s="188"/>
      <c r="BG105" s="188"/>
      <c r="BH105" s="188"/>
      <c r="BI105" s="188"/>
      <c r="BJ105" s="188"/>
      <c r="BK105" s="188"/>
      <c r="BL105" s="188"/>
      <c r="BM105" s="188"/>
      <c r="BN105" s="188"/>
      <c r="BO105" s="188"/>
      <c r="BP105" s="188"/>
    </row>
    <row r="106" spans="1:68" x14ac:dyDescent="0.15">
      <c r="A106" s="188"/>
      <c r="B106" s="188"/>
      <c r="C106" s="188"/>
      <c r="D106" s="188"/>
      <c r="E106" s="188"/>
      <c r="F106" s="188"/>
      <c r="G106" s="188"/>
      <c r="H106" s="188"/>
      <c r="I106" s="188"/>
      <c r="J106" s="188"/>
      <c r="K106" s="188"/>
      <c r="L106" s="188"/>
      <c r="M106" s="188"/>
      <c r="N106" s="188"/>
      <c r="O106" s="188"/>
      <c r="P106" s="188"/>
      <c r="Q106" s="188"/>
      <c r="R106" s="188"/>
      <c r="S106" s="188"/>
      <c r="T106" s="188"/>
      <c r="U106" s="188"/>
      <c r="V106" s="188"/>
      <c r="W106" s="188"/>
      <c r="X106" s="188"/>
      <c r="Y106" s="188"/>
      <c r="Z106" s="188"/>
      <c r="AA106" s="188"/>
      <c r="AB106" s="188"/>
      <c r="AC106" s="188"/>
      <c r="AD106" s="188"/>
      <c r="AE106" s="188"/>
      <c r="AF106" s="188"/>
      <c r="AG106" s="188"/>
      <c r="AH106" s="188"/>
      <c r="AI106" s="188"/>
      <c r="AJ106" s="188"/>
      <c r="AK106" s="188"/>
      <c r="AL106" s="188"/>
      <c r="AM106" s="188"/>
      <c r="AN106" s="188"/>
      <c r="AO106" s="188"/>
      <c r="AP106" s="188"/>
      <c r="AQ106" s="188"/>
      <c r="AR106" s="188"/>
      <c r="AS106" s="188"/>
      <c r="AT106" s="188"/>
      <c r="AU106" s="188"/>
      <c r="AV106" s="188"/>
      <c r="AW106" s="188"/>
      <c r="AX106" s="188"/>
      <c r="AY106" s="188"/>
      <c r="AZ106" s="188"/>
      <c r="BA106" s="188"/>
      <c r="BB106" s="188"/>
      <c r="BC106" s="188"/>
      <c r="BD106" s="188"/>
      <c r="BE106" s="188"/>
      <c r="BF106" s="188"/>
      <c r="BG106" s="188"/>
      <c r="BH106" s="188"/>
      <c r="BI106" s="188"/>
      <c r="BJ106" s="188"/>
      <c r="BK106" s="188"/>
      <c r="BL106" s="188"/>
      <c r="BM106" s="188"/>
      <c r="BN106" s="188"/>
      <c r="BO106" s="188"/>
      <c r="BP106" s="188"/>
    </row>
    <row r="107" spans="1:68" x14ac:dyDescent="0.15">
      <c r="A107" s="188"/>
      <c r="B107" s="188"/>
      <c r="C107" s="188"/>
      <c r="D107" s="188"/>
      <c r="E107" s="188"/>
      <c r="F107" s="188"/>
      <c r="G107" s="188"/>
      <c r="H107" s="188"/>
      <c r="I107" s="188"/>
      <c r="J107" s="188"/>
      <c r="K107" s="188"/>
      <c r="L107" s="188"/>
      <c r="M107" s="188"/>
      <c r="N107" s="188"/>
      <c r="O107" s="188"/>
      <c r="P107" s="188"/>
      <c r="Q107" s="188"/>
      <c r="R107" s="188"/>
      <c r="S107" s="188"/>
      <c r="T107" s="188"/>
      <c r="U107" s="188"/>
      <c r="V107" s="188"/>
      <c r="W107" s="188"/>
      <c r="X107" s="188"/>
      <c r="Y107" s="188"/>
      <c r="Z107" s="188"/>
      <c r="AA107" s="188"/>
      <c r="AB107" s="188"/>
      <c r="AC107" s="188"/>
      <c r="AD107" s="188"/>
      <c r="AE107" s="188"/>
      <c r="AF107" s="188"/>
      <c r="AG107" s="188"/>
      <c r="AH107" s="188"/>
      <c r="AI107" s="188"/>
      <c r="AJ107" s="188"/>
      <c r="AK107" s="188"/>
      <c r="AL107" s="188"/>
      <c r="AM107" s="188"/>
      <c r="AN107" s="188"/>
      <c r="AO107" s="188"/>
      <c r="AP107" s="188"/>
      <c r="AQ107" s="188"/>
      <c r="AR107" s="188"/>
      <c r="AS107" s="188"/>
      <c r="AT107" s="188"/>
      <c r="AU107" s="188"/>
      <c r="AV107" s="188"/>
      <c r="AW107" s="188"/>
      <c r="AX107" s="188"/>
      <c r="AY107" s="188"/>
      <c r="AZ107" s="188"/>
      <c r="BA107" s="188"/>
      <c r="BB107" s="188"/>
      <c r="BC107" s="188"/>
      <c r="BD107" s="188"/>
      <c r="BE107" s="188"/>
      <c r="BF107" s="188"/>
      <c r="BG107" s="188"/>
      <c r="BH107" s="188"/>
      <c r="BI107" s="188"/>
      <c r="BJ107" s="188"/>
      <c r="BK107" s="188"/>
      <c r="BL107" s="188"/>
      <c r="BM107" s="188"/>
      <c r="BN107" s="188"/>
      <c r="BO107" s="188"/>
      <c r="BP107" s="188"/>
    </row>
    <row r="108" spans="1:68" x14ac:dyDescent="0.15">
      <c r="A108" s="188"/>
      <c r="B108" s="188"/>
      <c r="C108" s="188"/>
      <c r="D108" s="188"/>
      <c r="E108" s="188"/>
      <c r="F108" s="188"/>
      <c r="G108" s="188"/>
      <c r="H108" s="188"/>
      <c r="I108" s="188"/>
      <c r="J108" s="188"/>
      <c r="K108" s="188"/>
      <c r="L108" s="188"/>
      <c r="M108" s="188"/>
      <c r="N108" s="188"/>
      <c r="O108" s="188"/>
      <c r="P108" s="188"/>
      <c r="Q108" s="188"/>
      <c r="R108" s="188"/>
      <c r="S108" s="188"/>
      <c r="T108" s="188"/>
      <c r="U108" s="188"/>
      <c r="V108" s="188"/>
      <c r="W108" s="188"/>
      <c r="X108" s="188"/>
      <c r="Y108" s="188"/>
      <c r="Z108" s="188"/>
      <c r="AA108" s="188"/>
      <c r="AB108" s="188"/>
      <c r="AC108" s="188"/>
      <c r="AD108" s="188"/>
      <c r="AE108" s="188"/>
      <c r="AF108" s="188"/>
      <c r="AG108" s="188"/>
      <c r="AH108" s="188"/>
      <c r="AI108" s="188"/>
      <c r="AJ108" s="188"/>
      <c r="AK108" s="188"/>
      <c r="AL108" s="188"/>
      <c r="AM108" s="188"/>
      <c r="AN108" s="188"/>
      <c r="AO108" s="188"/>
      <c r="AP108" s="188"/>
      <c r="AQ108" s="188"/>
      <c r="AR108" s="188"/>
      <c r="AS108" s="188"/>
      <c r="AT108" s="188"/>
      <c r="AU108" s="188"/>
      <c r="AV108" s="188"/>
      <c r="AW108" s="188"/>
      <c r="AX108" s="188"/>
      <c r="AY108" s="188"/>
      <c r="AZ108" s="188"/>
      <c r="BA108" s="188"/>
      <c r="BB108" s="188"/>
      <c r="BC108" s="188"/>
      <c r="BD108" s="188"/>
      <c r="BE108" s="188"/>
      <c r="BF108" s="188"/>
      <c r="BG108" s="188"/>
      <c r="BH108" s="188"/>
      <c r="BI108" s="188"/>
      <c r="BJ108" s="188"/>
      <c r="BK108" s="188"/>
      <c r="BL108" s="188"/>
      <c r="BM108" s="188"/>
      <c r="BN108" s="188"/>
      <c r="BO108" s="188"/>
      <c r="BP108" s="188"/>
    </row>
    <row r="109" spans="1:68" x14ac:dyDescent="0.15">
      <c r="A109" s="188"/>
      <c r="B109" s="188"/>
      <c r="C109" s="188"/>
      <c r="D109" s="188"/>
      <c r="E109" s="188"/>
      <c r="F109" s="188"/>
      <c r="G109" s="188"/>
      <c r="H109" s="188"/>
      <c r="I109" s="188"/>
      <c r="J109" s="188"/>
      <c r="K109" s="188"/>
      <c r="L109" s="188"/>
      <c r="M109" s="188"/>
      <c r="N109" s="188"/>
      <c r="O109" s="188"/>
      <c r="P109" s="188"/>
      <c r="Q109" s="188"/>
      <c r="R109" s="188"/>
      <c r="S109" s="188"/>
      <c r="T109" s="188"/>
      <c r="U109" s="188"/>
      <c r="V109" s="188"/>
      <c r="W109" s="188"/>
      <c r="X109" s="188"/>
      <c r="Y109" s="188"/>
      <c r="Z109" s="188"/>
      <c r="AA109" s="188"/>
      <c r="AB109" s="188"/>
      <c r="AC109" s="188"/>
      <c r="AD109" s="188"/>
      <c r="AE109" s="188"/>
      <c r="AF109" s="188"/>
      <c r="AG109" s="188"/>
      <c r="AH109" s="188"/>
      <c r="AI109" s="188"/>
      <c r="AJ109" s="188"/>
      <c r="AK109" s="188"/>
      <c r="AL109" s="188"/>
      <c r="AM109" s="188"/>
      <c r="AN109" s="188"/>
      <c r="AO109" s="188"/>
      <c r="AP109" s="188"/>
      <c r="AQ109" s="188"/>
      <c r="AR109" s="188"/>
      <c r="AS109" s="188"/>
      <c r="AT109" s="188"/>
      <c r="AU109" s="188"/>
      <c r="AV109" s="188"/>
      <c r="AW109" s="188"/>
      <c r="AX109" s="188"/>
      <c r="AY109" s="188"/>
      <c r="AZ109" s="188"/>
      <c r="BA109" s="188"/>
      <c r="BB109" s="188"/>
      <c r="BC109" s="188"/>
      <c r="BD109" s="188"/>
      <c r="BE109" s="188"/>
      <c r="BF109" s="188"/>
      <c r="BG109" s="188"/>
      <c r="BH109" s="188"/>
      <c r="BI109" s="188"/>
      <c r="BJ109" s="188"/>
      <c r="BK109" s="188"/>
      <c r="BL109" s="188"/>
      <c r="BM109" s="188"/>
      <c r="BN109" s="188"/>
      <c r="BO109" s="188"/>
      <c r="BP109" s="188"/>
    </row>
    <row r="110" spans="1:68" x14ac:dyDescent="0.15">
      <c r="A110" s="188"/>
      <c r="B110" s="188"/>
      <c r="C110" s="188"/>
      <c r="D110" s="188"/>
      <c r="E110" s="188"/>
      <c r="F110" s="188"/>
      <c r="G110" s="188"/>
      <c r="H110" s="188"/>
      <c r="I110" s="188"/>
      <c r="J110" s="188"/>
      <c r="K110" s="188"/>
      <c r="L110" s="188"/>
      <c r="M110" s="188"/>
      <c r="N110" s="188"/>
      <c r="O110" s="188"/>
      <c r="P110" s="188"/>
      <c r="Q110" s="188"/>
      <c r="R110" s="188"/>
      <c r="S110" s="188"/>
      <c r="T110" s="188"/>
      <c r="U110" s="188"/>
      <c r="V110" s="188"/>
      <c r="W110" s="188"/>
      <c r="X110" s="188"/>
      <c r="Y110" s="188"/>
      <c r="Z110" s="188"/>
      <c r="AA110" s="188"/>
      <c r="AB110" s="188"/>
      <c r="AC110" s="188"/>
      <c r="AD110" s="188"/>
      <c r="AE110" s="188"/>
      <c r="AF110" s="188"/>
      <c r="AG110" s="188"/>
      <c r="AH110" s="188"/>
      <c r="AI110" s="188"/>
      <c r="AJ110" s="188"/>
      <c r="AK110" s="188"/>
      <c r="AL110" s="188"/>
      <c r="AM110" s="188"/>
      <c r="AN110" s="188"/>
      <c r="AO110" s="188"/>
      <c r="AP110" s="188"/>
      <c r="AQ110" s="188"/>
      <c r="AR110" s="188"/>
      <c r="AS110" s="188"/>
      <c r="AT110" s="188"/>
      <c r="AU110" s="188"/>
      <c r="AV110" s="188"/>
      <c r="AW110" s="188"/>
      <c r="AX110" s="188"/>
      <c r="AY110" s="188"/>
      <c r="AZ110" s="188"/>
      <c r="BA110" s="188"/>
      <c r="BB110" s="188"/>
      <c r="BC110" s="188"/>
      <c r="BD110" s="188"/>
      <c r="BE110" s="188"/>
      <c r="BF110" s="188"/>
      <c r="BG110" s="188"/>
      <c r="BH110" s="188"/>
      <c r="BI110" s="188"/>
      <c r="BJ110" s="188"/>
      <c r="BK110" s="188"/>
      <c r="BL110" s="188"/>
      <c r="BM110" s="188"/>
      <c r="BN110" s="188"/>
      <c r="BO110" s="188"/>
      <c r="BP110" s="188"/>
    </row>
    <row r="111" spans="1:68" x14ac:dyDescent="0.15">
      <c r="A111" s="188"/>
      <c r="B111" s="188"/>
      <c r="C111" s="188"/>
      <c r="D111" s="188"/>
      <c r="E111" s="188"/>
      <c r="F111" s="188"/>
      <c r="G111" s="188"/>
      <c r="H111" s="188"/>
      <c r="I111" s="188"/>
      <c r="J111" s="188"/>
      <c r="K111" s="188"/>
      <c r="L111" s="188"/>
      <c r="M111" s="188"/>
      <c r="N111" s="188"/>
      <c r="O111" s="188"/>
      <c r="P111" s="188"/>
      <c r="Q111" s="188"/>
      <c r="R111" s="188"/>
      <c r="S111" s="188"/>
      <c r="T111" s="188"/>
      <c r="U111" s="188"/>
      <c r="V111" s="188"/>
      <c r="W111" s="188"/>
      <c r="X111" s="188"/>
      <c r="Y111" s="188"/>
      <c r="Z111" s="188"/>
      <c r="AA111" s="188"/>
      <c r="AB111" s="188"/>
      <c r="AC111" s="188"/>
      <c r="AD111" s="188"/>
      <c r="AE111" s="188"/>
      <c r="AF111" s="188"/>
      <c r="AG111" s="188"/>
      <c r="AH111" s="188"/>
      <c r="AI111" s="188"/>
      <c r="AJ111" s="188"/>
      <c r="AK111" s="188"/>
      <c r="AL111" s="188"/>
      <c r="AM111" s="188"/>
      <c r="AN111" s="188"/>
      <c r="AO111" s="188"/>
      <c r="AP111" s="188"/>
      <c r="AQ111" s="188"/>
      <c r="AR111" s="188"/>
      <c r="AS111" s="188"/>
      <c r="AT111" s="188"/>
      <c r="AU111" s="188"/>
      <c r="AV111" s="188"/>
      <c r="AW111" s="188"/>
      <c r="AX111" s="188"/>
      <c r="AY111" s="188"/>
      <c r="AZ111" s="188"/>
      <c r="BA111" s="188"/>
      <c r="BB111" s="188"/>
      <c r="BC111" s="188"/>
      <c r="BD111" s="188"/>
      <c r="BE111" s="188"/>
      <c r="BF111" s="188"/>
      <c r="BG111" s="188"/>
      <c r="BH111" s="188"/>
      <c r="BI111" s="188"/>
      <c r="BJ111" s="188"/>
      <c r="BK111" s="188"/>
      <c r="BL111" s="188"/>
      <c r="BM111" s="188"/>
      <c r="BN111" s="188"/>
      <c r="BO111" s="188"/>
      <c r="BP111" s="188"/>
    </row>
    <row r="112" spans="1:68" x14ac:dyDescent="0.15">
      <c r="A112" s="188"/>
      <c r="B112" s="188"/>
      <c r="C112" s="188"/>
      <c r="D112" s="188"/>
      <c r="E112" s="188"/>
      <c r="F112" s="188"/>
      <c r="G112" s="188"/>
      <c r="H112" s="188"/>
      <c r="I112" s="188"/>
      <c r="J112" s="188"/>
      <c r="K112" s="188"/>
      <c r="L112" s="188"/>
      <c r="M112" s="188"/>
      <c r="N112" s="188"/>
      <c r="O112" s="188"/>
      <c r="P112" s="188"/>
      <c r="Q112" s="188"/>
      <c r="R112" s="188"/>
      <c r="S112" s="188"/>
      <c r="T112" s="188"/>
      <c r="U112" s="188"/>
      <c r="V112" s="188"/>
      <c r="W112" s="188"/>
      <c r="X112" s="188"/>
      <c r="Y112" s="188"/>
      <c r="Z112" s="188"/>
      <c r="AA112" s="188"/>
      <c r="AB112" s="188"/>
      <c r="AC112" s="188"/>
      <c r="AD112" s="188"/>
      <c r="AE112" s="188"/>
      <c r="AF112" s="188"/>
      <c r="AG112" s="188"/>
      <c r="AH112" s="188"/>
      <c r="AI112" s="188"/>
      <c r="AJ112" s="188"/>
      <c r="AK112" s="188"/>
      <c r="AL112" s="188"/>
      <c r="AM112" s="188"/>
      <c r="AN112" s="188"/>
      <c r="AO112" s="188"/>
      <c r="AP112" s="188"/>
      <c r="AQ112" s="188"/>
      <c r="AR112" s="188"/>
      <c r="AS112" s="188"/>
      <c r="AT112" s="188"/>
      <c r="AU112" s="188"/>
      <c r="AV112" s="188"/>
      <c r="AW112" s="188"/>
      <c r="AX112" s="188"/>
      <c r="AY112" s="188"/>
      <c r="AZ112" s="188"/>
      <c r="BA112" s="188"/>
      <c r="BB112" s="188"/>
      <c r="BC112" s="188"/>
      <c r="BD112" s="188"/>
      <c r="BE112" s="188"/>
      <c r="BF112" s="188"/>
      <c r="BG112" s="188"/>
      <c r="BH112" s="188"/>
      <c r="BI112" s="188"/>
      <c r="BJ112" s="188"/>
      <c r="BK112" s="188"/>
      <c r="BL112" s="188"/>
      <c r="BM112" s="188"/>
      <c r="BN112" s="188"/>
      <c r="BO112" s="188"/>
      <c r="BP112" s="188"/>
    </row>
    <row r="113" spans="1:68" x14ac:dyDescent="0.15">
      <c r="A113" s="188"/>
      <c r="B113" s="188"/>
      <c r="C113" s="188"/>
      <c r="D113" s="188"/>
      <c r="E113" s="188"/>
      <c r="F113" s="188"/>
      <c r="G113" s="188"/>
      <c r="H113" s="188"/>
      <c r="I113" s="188"/>
      <c r="J113" s="188"/>
      <c r="K113" s="188"/>
      <c r="L113" s="188"/>
      <c r="M113" s="188"/>
      <c r="N113" s="188"/>
      <c r="O113" s="188"/>
      <c r="P113" s="188"/>
      <c r="Q113" s="188"/>
      <c r="R113" s="188"/>
      <c r="S113" s="188"/>
      <c r="T113" s="188"/>
      <c r="U113" s="188"/>
      <c r="V113" s="188"/>
      <c r="W113" s="188"/>
      <c r="X113" s="188"/>
      <c r="Y113" s="188"/>
      <c r="Z113" s="188"/>
      <c r="AA113" s="188"/>
      <c r="AB113" s="188"/>
      <c r="AC113" s="188"/>
      <c r="AD113" s="188"/>
      <c r="AE113" s="188"/>
      <c r="AF113" s="188"/>
      <c r="AG113" s="188"/>
      <c r="AH113" s="188"/>
      <c r="AI113" s="188"/>
      <c r="AJ113" s="188"/>
      <c r="AK113" s="188"/>
      <c r="AL113" s="188"/>
      <c r="AM113" s="188"/>
      <c r="AN113" s="188"/>
      <c r="AO113" s="188"/>
      <c r="AP113" s="188"/>
      <c r="AQ113" s="188"/>
      <c r="AR113" s="188"/>
      <c r="AS113" s="188"/>
      <c r="AT113" s="188"/>
      <c r="AU113" s="188"/>
      <c r="AV113" s="188"/>
      <c r="AW113" s="188"/>
      <c r="AX113" s="188"/>
      <c r="AY113" s="188"/>
      <c r="AZ113" s="188"/>
      <c r="BA113" s="188"/>
      <c r="BB113" s="188"/>
      <c r="BC113" s="188"/>
      <c r="BD113" s="188"/>
      <c r="BE113" s="188"/>
      <c r="BF113" s="188"/>
      <c r="BG113" s="188"/>
      <c r="BH113" s="188"/>
      <c r="BI113" s="188"/>
      <c r="BJ113" s="188"/>
      <c r="BK113" s="188"/>
      <c r="BL113" s="188"/>
      <c r="BM113" s="188"/>
      <c r="BN113" s="188"/>
      <c r="BO113" s="188"/>
      <c r="BP113" s="188"/>
    </row>
    <row r="114" spans="1:68" x14ac:dyDescent="0.15">
      <c r="A114" s="188"/>
      <c r="B114" s="188"/>
      <c r="C114" s="188"/>
      <c r="D114" s="188"/>
      <c r="E114" s="188"/>
      <c r="F114" s="188"/>
      <c r="G114" s="188"/>
      <c r="H114" s="188"/>
      <c r="I114" s="188"/>
      <c r="J114" s="188"/>
      <c r="K114" s="188"/>
      <c r="L114" s="188"/>
      <c r="M114" s="188"/>
      <c r="N114" s="188"/>
      <c r="O114" s="188"/>
      <c r="P114" s="188"/>
      <c r="Q114" s="188"/>
      <c r="R114" s="188"/>
      <c r="S114" s="188"/>
      <c r="T114" s="188"/>
      <c r="U114" s="188"/>
      <c r="V114" s="188"/>
      <c r="W114" s="188"/>
      <c r="X114" s="188"/>
      <c r="Y114" s="188"/>
      <c r="Z114" s="188"/>
      <c r="AA114" s="188"/>
      <c r="AB114" s="188"/>
      <c r="AC114" s="188"/>
      <c r="AD114" s="188"/>
      <c r="AE114" s="188"/>
      <c r="AF114" s="188"/>
      <c r="AG114" s="188"/>
      <c r="AH114" s="188"/>
      <c r="AI114" s="188"/>
      <c r="AJ114" s="188"/>
      <c r="AK114" s="188"/>
      <c r="AL114" s="188"/>
      <c r="AM114" s="188"/>
      <c r="AN114" s="188"/>
      <c r="AO114" s="188"/>
      <c r="AP114" s="188"/>
      <c r="AQ114" s="188"/>
      <c r="AR114" s="188"/>
      <c r="AS114" s="188"/>
      <c r="AT114" s="188"/>
      <c r="AU114" s="188"/>
      <c r="AV114" s="188"/>
      <c r="AW114" s="188"/>
      <c r="AX114" s="188"/>
      <c r="AY114" s="188"/>
      <c r="AZ114" s="188"/>
      <c r="BA114" s="188"/>
      <c r="BB114" s="188"/>
      <c r="BC114" s="188"/>
      <c r="BD114" s="188"/>
      <c r="BE114" s="188"/>
      <c r="BF114" s="188"/>
      <c r="BG114" s="188"/>
      <c r="BH114" s="188"/>
      <c r="BI114" s="188"/>
      <c r="BJ114" s="188"/>
      <c r="BK114" s="188"/>
      <c r="BL114" s="188"/>
      <c r="BM114" s="188"/>
      <c r="BN114" s="188"/>
      <c r="BO114" s="188"/>
      <c r="BP114" s="188"/>
    </row>
    <row r="115" spans="1:68" x14ac:dyDescent="0.15">
      <c r="A115" s="188"/>
      <c r="B115" s="188"/>
      <c r="C115" s="188"/>
      <c r="D115" s="188"/>
      <c r="E115" s="188"/>
      <c r="F115" s="188"/>
      <c r="G115" s="188"/>
      <c r="H115" s="188"/>
      <c r="I115" s="188"/>
      <c r="J115" s="188"/>
      <c r="K115" s="188"/>
      <c r="L115" s="188"/>
      <c r="M115" s="188"/>
      <c r="N115" s="188"/>
      <c r="O115" s="188"/>
      <c r="P115" s="188"/>
      <c r="Q115" s="188"/>
      <c r="R115" s="188"/>
      <c r="S115" s="188"/>
      <c r="T115" s="188"/>
      <c r="U115" s="188"/>
      <c r="V115" s="188"/>
      <c r="W115" s="188"/>
      <c r="X115" s="188"/>
      <c r="Y115" s="188"/>
      <c r="Z115" s="188"/>
      <c r="AA115" s="188"/>
      <c r="AB115" s="188"/>
      <c r="AC115" s="188"/>
      <c r="AD115" s="188"/>
      <c r="AE115" s="188"/>
      <c r="AF115" s="188"/>
      <c r="AG115" s="188"/>
      <c r="AH115" s="188"/>
      <c r="AI115" s="188"/>
      <c r="AJ115" s="188"/>
      <c r="AK115" s="188"/>
      <c r="AL115" s="188"/>
      <c r="AM115" s="188"/>
      <c r="AN115" s="188"/>
      <c r="AO115" s="188"/>
      <c r="AP115" s="188"/>
      <c r="AQ115" s="188"/>
      <c r="AR115" s="188"/>
      <c r="AS115" s="188"/>
      <c r="AT115" s="188"/>
      <c r="AU115" s="188"/>
      <c r="AV115" s="188"/>
      <c r="AW115" s="188"/>
      <c r="AX115" s="188"/>
      <c r="AY115" s="188"/>
      <c r="AZ115" s="188"/>
      <c r="BA115" s="188"/>
      <c r="BB115" s="188"/>
      <c r="BC115" s="188"/>
      <c r="BD115" s="188"/>
      <c r="BE115" s="188"/>
      <c r="BF115" s="188"/>
      <c r="BG115" s="188"/>
      <c r="BH115" s="188"/>
      <c r="BI115" s="188"/>
      <c r="BJ115" s="188"/>
      <c r="BK115" s="188"/>
      <c r="BL115" s="188"/>
      <c r="BM115" s="188"/>
      <c r="BN115" s="188"/>
      <c r="BO115" s="188"/>
      <c r="BP115" s="188"/>
    </row>
    <row r="116" spans="1:68" x14ac:dyDescent="0.15">
      <c r="A116" s="188"/>
      <c r="B116" s="188"/>
      <c r="C116" s="188"/>
      <c r="D116" s="188"/>
      <c r="E116" s="188"/>
      <c r="F116" s="188"/>
      <c r="G116" s="188"/>
      <c r="H116" s="188"/>
      <c r="I116" s="188"/>
      <c r="J116" s="188"/>
      <c r="K116" s="188"/>
      <c r="L116" s="188"/>
      <c r="M116" s="188"/>
      <c r="N116" s="188"/>
      <c r="O116" s="188"/>
      <c r="P116" s="188"/>
      <c r="Q116" s="188"/>
      <c r="R116" s="188"/>
      <c r="S116" s="188"/>
      <c r="T116" s="188"/>
      <c r="U116" s="188"/>
      <c r="V116" s="188"/>
      <c r="W116" s="188"/>
      <c r="X116" s="188"/>
      <c r="Y116" s="188"/>
      <c r="Z116" s="188"/>
      <c r="AA116" s="188"/>
      <c r="AB116" s="188"/>
      <c r="AC116" s="188"/>
      <c r="AD116" s="188"/>
      <c r="AE116" s="188"/>
      <c r="AF116" s="188"/>
      <c r="AG116" s="188"/>
      <c r="AH116" s="188"/>
      <c r="AI116" s="188"/>
      <c r="AJ116" s="188"/>
      <c r="AK116" s="188"/>
      <c r="AL116" s="188"/>
      <c r="AM116" s="188"/>
      <c r="AN116" s="188"/>
      <c r="AO116" s="188"/>
      <c r="AP116" s="188"/>
      <c r="AQ116" s="188"/>
      <c r="AR116" s="188"/>
      <c r="AS116" s="188"/>
      <c r="AT116" s="188"/>
      <c r="AU116" s="188"/>
      <c r="AV116" s="188"/>
      <c r="AW116" s="188"/>
      <c r="AX116" s="188"/>
      <c r="AY116" s="188"/>
      <c r="AZ116" s="188"/>
      <c r="BA116" s="188"/>
      <c r="BB116" s="188"/>
      <c r="BC116" s="188"/>
      <c r="BD116" s="188"/>
      <c r="BE116" s="188"/>
      <c r="BF116" s="188"/>
      <c r="BG116" s="188"/>
      <c r="BH116" s="188"/>
      <c r="BI116" s="188"/>
      <c r="BJ116" s="188"/>
      <c r="BK116" s="188"/>
      <c r="BL116" s="188"/>
      <c r="BM116" s="188"/>
      <c r="BN116" s="188"/>
      <c r="BO116" s="188"/>
      <c r="BP116" s="188"/>
    </row>
    <row r="117" spans="1:68" x14ac:dyDescent="0.15">
      <c r="A117" s="188"/>
      <c r="B117" s="188"/>
      <c r="C117" s="188"/>
      <c r="D117" s="188"/>
      <c r="E117" s="188"/>
      <c r="F117" s="188"/>
      <c r="G117" s="188"/>
      <c r="H117" s="188"/>
      <c r="I117" s="188"/>
      <c r="J117" s="188"/>
      <c r="K117" s="188"/>
      <c r="L117" s="188"/>
      <c r="M117" s="188"/>
      <c r="N117" s="188"/>
      <c r="O117" s="188"/>
      <c r="P117" s="188"/>
      <c r="Q117" s="188"/>
      <c r="R117" s="188"/>
      <c r="S117" s="188"/>
      <c r="T117" s="188"/>
      <c r="U117" s="188"/>
      <c r="V117" s="188"/>
      <c r="W117" s="188"/>
      <c r="X117" s="188"/>
      <c r="Y117" s="188"/>
      <c r="Z117" s="188"/>
      <c r="AA117" s="188"/>
      <c r="AB117" s="188"/>
      <c r="AC117" s="188"/>
      <c r="AD117" s="188"/>
      <c r="AE117" s="188"/>
      <c r="AF117" s="188"/>
      <c r="AG117" s="188"/>
      <c r="AH117" s="188"/>
      <c r="AI117" s="188"/>
      <c r="AJ117" s="188"/>
      <c r="AK117" s="188"/>
      <c r="AL117" s="188"/>
      <c r="AM117" s="188"/>
      <c r="AN117" s="188"/>
      <c r="AO117" s="188"/>
      <c r="AP117" s="188"/>
      <c r="AQ117" s="188"/>
      <c r="AR117" s="188"/>
      <c r="AS117" s="188"/>
      <c r="AT117" s="188"/>
      <c r="AU117" s="188"/>
      <c r="AV117" s="188"/>
      <c r="AW117" s="188"/>
      <c r="AX117" s="188"/>
      <c r="AY117" s="188"/>
      <c r="AZ117" s="188"/>
      <c r="BA117" s="188"/>
      <c r="BB117" s="188"/>
      <c r="BC117" s="188"/>
      <c r="BD117" s="188"/>
      <c r="BE117" s="188"/>
      <c r="BF117" s="188"/>
      <c r="BG117" s="188"/>
      <c r="BH117" s="188"/>
      <c r="BI117" s="188"/>
      <c r="BJ117" s="188"/>
      <c r="BK117" s="188"/>
      <c r="BL117" s="188"/>
      <c r="BM117" s="188"/>
      <c r="BN117" s="188"/>
      <c r="BO117" s="188"/>
      <c r="BP117" s="188"/>
    </row>
    <row r="118" spans="1:68" x14ac:dyDescent="0.15">
      <c r="A118" s="188"/>
      <c r="B118" s="188"/>
      <c r="C118" s="188"/>
      <c r="D118" s="188"/>
      <c r="E118" s="188"/>
      <c r="F118" s="188"/>
      <c r="G118" s="188"/>
      <c r="H118" s="188"/>
      <c r="I118" s="188"/>
      <c r="J118" s="188"/>
      <c r="K118" s="188"/>
      <c r="L118" s="188"/>
      <c r="M118" s="188"/>
      <c r="N118" s="188"/>
      <c r="O118" s="188"/>
      <c r="P118" s="188"/>
      <c r="Q118" s="188"/>
      <c r="R118" s="188"/>
      <c r="S118" s="188"/>
      <c r="T118" s="188"/>
      <c r="U118" s="188"/>
      <c r="V118" s="188"/>
      <c r="W118" s="188"/>
      <c r="X118" s="188"/>
      <c r="Y118" s="188"/>
      <c r="Z118" s="188"/>
      <c r="AA118" s="188"/>
      <c r="AB118" s="188"/>
      <c r="AC118" s="188"/>
      <c r="AD118" s="188"/>
      <c r="AE118" s="188"/>
      <c r="AF118" s="188"/>
      <c r="AG118" s="188"/>
      <c r="AH118" s="188"/>
      <c r="AI118" s="188"/>
      <c r="AJ118" s="188"/>
      <c r="AK118" s="188"/>
      <c r="AL118" s="188"/>
      <c r="AM118" s="188"/>
      <c r="AN118" s="188"/>
      <c r="AO118" s="188"/>
      <c r="AP118" s="188"/>
      <c r="AQ118" s="188"/>
      <c r="AR118" s="188"/>
      <c r="AS118" s="188"/>
      <c r="AT118" s="188"/>
      <c r="AU118" s="188"/>
      <c r="AV118" s="188"/>
      <c r="AW118" s="188"/>
      <c r="AX118" s="188"/>
      <c r="AY118" s="188"/>
      <c r="AZ118" s="188"/>
      <c r="BA118" s="188"/>
      <c r="BB118" s="188"/>
      <c r="BC118" s="188"/>
      <c r="BD118" s="188"/>
      <c r="BE118" s="188"/>
      <c r="BF118" s="188"/>
      <c r="BG118" s="188"/>
      <c r="BH118" s="188"/>
      <c r="BI118" s="188"/>
      <c r="BJ118" s="188"/>
      <c r="BK118" s="188"/>
      <c r="BL118" s="188"/>
      <c r="BM118" s="188"/>
      <c r="BN118" s="188"/>
      <c r="BO118" s="188"/>
      <c r="BP118" s="188"/>
    </row>
    <row r="119" spans="1:68" x14ac:dyDescent="0.15">
      <c r="A119" s="188"/>
      <c r="B119" s="188"/>
      <c r="C119" s="188"/>
      <c r="D119" s="188"/>
      <c r="E119" s="188"/>
      <c r="F119" s="188"/>
      <c r="G119" s="188"/>
      <c r="H119" s="188"/>
      <c r="I119" s="188"/>
      <c r="J119" s="188"/>
      <c r="K119" s="188"/>
      <c r="L119" s="188"/>
      <c r="M119" s="188"/>
      <c r="N119" s="188"/>
      <c r="O119" s="188"/>
      <c r="P119" s="188"/>
      <c r="Q119" s="188"/>
      <c r="R119" s="188"/>
      <c r="S119" s="188"/>
      <c r="T119" s="188"/>
      <c r="U119" s="188"/>
      <c r="V119" s="188"/>
      <c r="W119" s="188"/>
      <c r="X119" s="188"/>
      <c r="Y119" s="188"/>
      <c r="Z119" s="188"/>
      <c r="AA119" s="188"/>
      <c r="AB119" s="188"/>
      <c r="AC119" s="188"/>
      <c r="AD119" s="188"/>
      <c r="AE119" s="188"/>
      <c r="AF119" s="188"/>
      <c r="AG119" s="188"/>
      <c r="AH119" s="188"/>
      <c r="AI119" s="188"/>
      <c r="AJ119" s="188"/>
      <c r="AK119" s="188"/>
      <c r="AL119" s="188"/>
      <c r="AM119" s="188"/>
      <c r="AN119" s="188"/>
      <c r="AO119" s="188"/>
      <c r="AP119" s="188"/>
      <c r="AQ119" s="188"/>
      <c r="AR119" s="188"/>
      <c r="AS119" s="188"/>
      <c r="AT119" s="188"/>
      <c r="AU119" s="188"/>
      <c r="AV119" s="188"/>
      <c r="AW119" s="188"/>
      <c r="AX119" s="188"/>
      <c r="AY119" s="188"/>
      <c r="AZ119" s="188"/>
      <c r="BA119" s="188"/>
      <c r="BB119" s="188"/>
      <c r="BC119" s="188"/>
      <c r="BD119" s="188"/>
      <c r="BE119" s="188"/>
      <c r="BF119" s="188"/>
      <c r="BG119" s="188"/>
      <c r="BH119" s="188"/>
      <c r="BI119" s="188"/>
      <c r="BJ119" s="188"/>
      <c r="BK119" s="188"/>
      <c r="BL119" s="188"/>
      <c r="BM119" s="188"/>
      <c r="BN119" s="188"/>
      <c r="BO119" s="188"/>
      <c r="BP119" s="188"/>
    </row>
    <row r="120" spans="1:68" x14ac:dyDescent="0.15">
      <c r="A120" s="188"/>
      <c r="B120" s="188"/>
      <c r="C120" s="188"/>
      <c r="D120" s="188"/>
      <c r="E120" s="188"/>
      <c r="F120" s="188"/>
      <c r="G120" s="188"/>
      <c r="H120" s="188"/>
      <c r="I120" s="188"/>
      <c r="J120" s="188"/>
      <c r="K120" s="188"/>
      <c r="L120" s="188"/>
      <c r="M120" s="188"/>
      <c r="N120" s="188"/>
      <c r="O120" s="188"/>
      <c r="P120" s="188"/>
      <c r="Q120" s="188"/>
      <c r="R120" s="188"/>
      <c r="S120" s="188"/>
      <c r="T120" s="188"/>
      <c r="U120" s="188"/>
      <c r="V120" s="188"/>
      <c r="W120" s="188"/>
      <c r="X120" s="188"/>
      <c r="Y120" s="188"/>
      <c r="Z120" s="188"/>
      <c r="AA120" s="188"/>
      <c r="AB120" s="188"/>
      <c r="AC120" s="188"/>
      <c r="AD120" s="188"/>
      <c r="AE120" s="188"/>
      <c r="AF120" s="188"/>
      <c r="AG120" s="188"/>
      <c r="AH120" s="188"/>
      <c r="AI120" s="188"/>
      <c r="AJ120" s="188"/>
      <c r="AK120" s="188"/>
      <c r="AL120" s="188"/>
      <c r="AM120" s="188"/>
      <c r="AN120" s="188"/>
      <c r="AO120" s="188"/>
      <c r="AP120" s="188"/>
      <c r="AQ120" s="188"/>
      <c r="AR120" s="188"/>
      <c r="AS120" s="188"/>
      <c r="AT120" s="188"/>
      <c r="AU120" s="188"/>
      <c r="AV120" s="188"/>
      <c r="AW120" s="188"/>
      <c r="AX120" s="188"/>
      <c r="AY120" s="188"/>
      <c r="AZ120" s="188"/>
      <c r="BA120" s="188"/>
      <c r="BB120" s="188"/>
      <c r="BC120" s="188"/>
      <c r="BD120" s="188"/>
      <c r="BE120" s="188"/>
      <c r="BF120" s="188"/>
      <c r="BG120" s="188"/>
      <c r="BH120" s="188"/>
      <c r="BI120" s="188"/>
      <c r="BJ120" s="188"/>
      <c r="BK120" s="188"/>
      <c r="BL120" s="188"/>
      <c r="BM120" s="188"/>
      <c r="BN120" s="188"/>
      <c r="BO120" s="188"/>
      <c r="BP120" s="188"/>
    </row>
    <row r="121" spans="1:68" x14ac:dyDescent="0.15">
      <c r="A121" s="188"/>
      <c r="B121" s="188"/>
      <c r="C121" s="188"/>
      <c r="D121" s="188"/>
      <c r="E121" s="188"/>
      <c r="F121" s="188"/>
      <c r="G121" s="188"/>
      <c r="H121" s="188"/>
      <c r="I121" s="188"/>
      <c r="J121" s="188"/>
      <c r="K121" s="188"/>
      <c r="L121" s="188"/>
      <c r="M121" s="188"/>
      <c r="N121" s="188"/>
      <c r="O121" s="188"/>
      <c r="P121" s="188"/>
      <c r="Q121" s="188"/>
      <c r="R121" s="188"/>
      <c r="S121" s="188"/>
      <c r="T121" s="188"/>
      <c r="U121" s="188"/>
      <c r="V121" s="188"/>
      <c r="W121" s="188"/>
      <c r="X121" s="188"/>
      <c r="Y121" s="188"/>
      <c r="Z121" s="188"/>
      <c r="AA121" s="188"/>
      <c r="AB121" s="188"/>
      <c r="AC121" s="188"/>
      <c r="AD121" s="188"/>
      <c r="AE121" s="188"/>
      <c r="AF121" s="188"/>
      <c r="AG121" s="188"/>
      <c r="AH121" s="188"/>
      <c r="AI121" s="188"/>
      <c r="AJ121" s="188"/>
      <c r="AK121" s="188"/>
      <c r="AL121" s="188"/>
      <c r="AM121" s="188"/>
      <c r="AN121" s="188"/>
      <c r="AO121" s="188"/>
      <c r="AP121" s="188"/>
      <c r="AQ121" s="188"/>
      <c r="AR121" s="188"/>
      <c r="AS121" s="188"/>
      <c r="AT121" s="188"/>
      <c r="AU121" s="188"/>
      <c r="AV121" s="188"/>
      <c r="AW121" s="188"/>
      <c r="AX121" s="188"/>
      <c r="AY121" s="188"/>
      <c r="AZ121" s="188"/>
      <c r="BA121" s="188"/>
      <c r="BB121" s="188"/>
      <c r="BC121" s="188"/>
      <c r="BD121" s="188"/>
      <c r="BE121" s="188"/>
      <c r="BF121" s="188"/>
      <c r="BG121" s="188"/>
      <c r="BH121" s="188"/>
      <c r="BI121" s="188"/>
      <c r="BJ121" s="188"/>
      <c r="BK121" s="188"/>
      <c r="BL121" s="188"/>
      <c r="BM121" s="188"/>
      <c r="BN121" s="188"/>
      <c r="BO121" s="188"/>
      <c r="BP121" s="188"/>
    </row>
    <row r="122" spans="1:68" x14ac:dyDescent="0.15">
      <c r="A122" s="188"/>
      <c r="B122" s="188"/>
      <c r="C122" s="188"/>
      <c r="D122" s="188"/>
      <c r="E122" s="188"/>
      <c r="F122" s="188"/>
      <c r="G122" s="188"/>
      <c r="H122" s="188"/>
      <c r="I122" s="188"/>
      <c r="J122" s="188"/>
      <c r="K122" s="188"/>
      <c r="L122" s="188"/>
      <c r="M122" s="188"/>
      <c r="N122" s="188"/>
      <c r="O122" s="188"/>
      <c r="P122" s="188"/>
      <c r="Q122" s="188"/>
      <c r="R122" s="188"/>
      <c r="S122" s="188"/>
      <c r="T122" s="188"/>
      <c r="U122" s="188"/>
      <c r="V122" s="188"/>
      <c r="W122" s="188"/>
      <c r="X122" s="188"/>
      <c r="Y122" s="188"/>
      <c r="Z122" s="188"/>
      <c r="AA122" s="188"/>
      <c r="AB122" s="188"/>
      <c r="AC122" s="188"/>
      <c r="AD122" s="188"/>
      <c r="AE122" s="188"/>
      <c r="AF122" s="188"/>
      <c r="AG122" s="188"/>
      <c r="AH122" s="188"/>
      <c r="AI122" s="188"/>
      <c r="AJ122" s="188"/>
      <c r="AK122" s="188"/>
      <c r="AL122" s="188"/>
      <c r="AM122" s="188"/>
      <c r="AN122" s="188"/>
      <c r="AO122" s="188"/>
      <c r="AP122" s="188"/>
      <c r="AQ122" s="188"/>
      <c r="AR122" s="188"/>
      <c r="AS122" s="188"/>
      <c r="AT122" s="188"/>
      <c r="AU122" s="188"/>
      <c r="AV122" s="188"/>
      <c r="AW122" s="188"/>
      <c r="AX122" s="188"/>
      <c r="AY122" s="188"/>
      <c r="AZ122" s="188"/>
      <c r="BA122" s="188"/>
      <c r="BB122" s="188"/>
      <c r="BC122" s="188"/>
      <c r="BD122" s="188"/>
      <c r="BE122" s="188"/>
      <c r="BF122" s="188"/>
      <c r="BG122" s="188"/>
      <c r="BH122" s="188"/>
      <c r="BI122" s="188"/>
      <c r="BJ122" s="188"/>
      <c r="BK122" s="188"/>
      <c r="BL122" s="188"/>
      <c r="BM122" s="188"/>
      <c r="BN122" s="188"/>
      <c r="BO122" s="188"/>
      <c r="BP122" s="188"/>
    </row>
    <row r="123" spans="1:68" x14ac:dyDescent="0.15">
      <c r="A123" s="188"/>
      <c r="B123" s="188"/>
      <c r="C123" s="188"/>
      <c r="D123" s="188"/>
      <c r="E123" s="188"/>
      <c r="F123" s="188"/>
      <c r="G123" s="188"/>
      <c r="H123" s="188"/>
      <c r="I123" s="188"/>
      <c r="J123" s="188"/>
      <c r="K123" s="188"/>
      <c r="L123" s="188"/>
      <c r="M123" s="188"/>
      <c r="N123" s="188"/>
      <c r="O123" s="188"/>
      <c r="P123" s="188"/>
      <c r="Q123" s="188"/>
      <c r="R123" s="188"/>
      <c r="S123" s="188"/>
      <c r="T123" s="188"/>
      <c r="U123" s="188"/>
      <c r="V123" s="188"/>
      <c r="W123" s="188"/>
      <c r="X123" s="188"/>
      <c r="Y123" s="188"/>
      <c r="Z123" s="188"/>
      <c r="AA123" s="188"/>
      <c r="AB123" s="188"/>
      <c r="AC123" s="188"/>
      <c r="AD123" s="188"/>
      <c r="AE123" s="188"/>
      <c r="AF123" s="188"/>
      <c r="AG123" s="188"/>
      <c r="AH123" s="188"/>
      <c r="AI123" s="188"/>
      <c r="AJ123" s="188"/>
      <c r="AK123" s="188"/>
      <c r="AL123" s="188"/>
      <c r="AM123" s="188"/>
      <c r="AN123" s="188"/>
      <c r="AO123" s="188"/>
      <c r="AP123" s="188"/>
      <c r="AQ123" s="188"/>
      <c r="AR123" s="188"/>
      <c r="AS123" s="188"/>
      <c r="AT123" s="188"/>
      <c r="AU123" s="188"/>
      <c r="AV123" s="188"/>
      <c r="AW123" s="188"/>
      <c r="AX123" s="188"/>
      <c r="AY123" s="188"/>
      <c r="AZ123" s="188"/>
      <c r="BA123" s="188"/>
      <c r="BB123" s="188"/>
      <c r="BC123" s="188"/>
      <c r="BD123" s="188"/>
      <c r="BE123" s="188"/>
      <c r="BF123" s="188"/>
      <c r="BG123" s="188"/>
      <c r="BH123" s="188"/>
      <c r="BI123" s="188"/>
      <c r="BJ123" s="188"/>
      <c r="BK123" s="188"/>
      <c r="BL123" s="188"/>
      <c r="BM123" s="188"/>
      <c r="BN123" s="188"/>
      <c r="BO123" s="188"/>
      <c r="BP123" s="188"/>
    </row>
    <row r="124" spans="1:68" x14ac:dyDescent="0.15">
      <c r="A124" s="188"/>
      <c r="B124" s="188"/>
      <c r="C124" s="188"/>
      <c r="D124" s="188"/>
      <c r="E124" s="188"/>
      <c r="F124" s="188"/>
      <c r="G124" s="188"/>
      <c r="H124" s="188"/>
      <c r="I124" s="188"/>
      <c r="J124" s="188"/>
      <c r="K124" s="188"/>
      <c r="L124" s="188"/>
      <c r="M124" s="188"/>
      <c r="N124" s="188"/>
      <c r="O124" s="188"/>
      <c r="P124" s="188"/>
      <c r="Q124" s="188"/>
      <c r="R124" s="188"/>
      <c r="S124" s="188"/>
      <c r="T124" s="188"/>
      <c r="U124" s="188"/>
      <c r="V124" s="188"/>
      <c r="W124" s="188"/>
      <c r="X124" s="188"/>
      <c r="Y124" s="188"/>
      <c r="Z124" s="188"/>
      <c r="AA124" s="188"/>
      <c r="AB124" s="188"/>
      <c r="AC124" s="188"/>
      <c r="AD124" s="188"/>
      <c r="AE124" s="188"/>
      <c r="AF124" s="188"/>
      <c r="AG124" s="188"/>
      <c r="AH124" s="188"/>
      <c r="AI124" s="188"/>
      <c r="AJ124" s="188"/>
      <c r="AK124" s="188"/>
      <c r="AL124" s="188"/>
      <c r="AM124" s="188"/>
      <c r="AN124" s="188"/>
      <c r="AO124" s="188"/>
      <c r="AP124" s="188"/>
      <c r="AQ124" s="188"/>
      <c r="AR124" s="188"/>
      <c r="AS124" s="188"/>
      <c r="AT124" s="188"/>
      <c r="AU124" s="188"/>
      <c r="AV124" s="188"/>
      <c r="AW124" s="188"/>
      <c r="AX124" s="188"/>
      <c r="AY124" s="188"/>
      <c r="AZ124" s="188"/>
      <c r="BA124" s="188"/>
      <c r="BB124" s="188"/>
      <c r="BC124" s="188"/>
      <c r="BD124" s="188"/>
      <c r="BE124" s="188"/>
      <c r="BF124" s="188"/>
      <c r="BG124" s="188"/>
      <c r="BH124" s="188"/>
      <c r="BI124" s="188"/>
      <c r="BJ124" s="188"/>
      <c r="BK124" s="188"/>
      <c r="BL124" s="188"/>
      <c r="BM124" s="188"/>
      <c r="BN124" s="188"/>
      <c r="BO124" s="188"/>
    </row>
  </sheetData>
  <mergeCells count="1">
    <mergeCell ref="B94:AL96"/>
  </mergeCells>
  <phoneticPr fontId="0" type="noConversion"/>
  <printOptions gridLinesSet="0"/>
  <pageMargins left="0" right="0" top="0" bottom="0" header="0.5" footer="0.5"/>
  <pageSetup paperSize="0" fitToHeight="0" orientation="landscape" horizontalDpi="0" verticalDpi="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61107-6408-4941-994C-F6C047EE1210}">
  <sheetPr>
    <outlinePr summaryBelow="0" summaryRight="0"/>
    <pageSetUpPr autoPageBreaks="0" fitToPage="1"/>
  </sheetPr>
  <dimension ref="A1:BP139"/>
  <sheetViews>
    <sheetView showGridLines="0" zoomScale="75" zoomScaleNormal="75" zoomScaleSheetLayoutView="75" workbookViewId="0"/>
  </sheetViews>
  <sheetFormatPr defaultRowHeight="12.75" x14ac:dyDescent="0.15"/>
  <cols>
    <col min="1" max="1" width="1.75" customWidth="1"/>
    <col min="2" max="2" width="9.70703125" customWidth="1"/>
    <col min="3" max="3" width="47.73828125" customWidth="1"/>
    <col min="4" max="4" width="25.75390625" customWidth="1"/>
    <col min="5" max="7" width="9.70703125" customWidth="1"/>
    <col min="8" max="9" width="7.68359375" customWidth="1"/>
    <col min="10" max="37" width="3.234375" customWidth="1"/>
    <col min="38" max="38" width="1.75" customWidth="1"/>
  </cols>
  <sheetData>
    <row r="1" spans="2:68" ht="30" customHeight="1" x14ac:dyDescent="0.25">
      <c r="B1" s="168" t="s">
        <v>401</v>
      </c>
      <c r="E1" s="105"/>
      <c r="F1" s="105"/>
      <c r="G1" s="105"/>
      <c r="H1" s="105"/>
      <c r="I1" s="105"/>
      <c r="J1" s="105"/>
      <c r="K1" s="105"/>
      <c r="L1" s="105"/>
      <c r="M1" s="105"/>
      <c r="N1" s="106"/>
      <c r="O1" s="107"/>
      <c r="P1" s="107"/>
      <c r="Q1" s="107"/>
      <c r="R1" s="107"/>
      <c r="S1" s="108"/>
      <c r="T1" s="108"/>
      <c r="U1" s="108"/>
      <c r="V1" s="108"/>
      <c r="W1" s="108"/>
      <c r="X1" s="108"/>
      <c r="Y1" s="108"/>
      <c r="Z1" s="108"/>
      <c r="AA1" s="108"/>
      <c r="AB1" s="108"/>
      <c r="AC1" s="108"/>
      <c r="AD1" s="108"/>
      <c r="AE1" s="108"/>
      <c r="AF1" s="108"/>
      <c r="AG1" s="108"/>
      <c r="AH1" s="107"/>
      <c r="AI1" s="107"/>
      <c r="AJ1" s="107"/>
      <c r="AK1" s="107"/>
      <c r="AL1" s="107"/>
      <c r="AM1" s="187"/>
      <c r="AN1" s="187"/>
      <c r="AO1" s="187"/>
      <c r="AP1" s="187"/>
      <c r="AQ1" s="187"/>
      <c r="AR1" s="187"/>
      <c r="AS1" s="187"/>
      <c r="AT1" s="187"/>
      <c r="AU1" s="187"/>
      <c r="AV1" s="187"/>
      <c r="AW1" s="188"/>
      <c r="AX1" s="188"/>
      <c r="AY1" s="188"/>
      <c r="AZ1" s="188"/>
      <c r="BA1" s="188"/>
      <c r="BB1" s="188"/>
      <c r="BC1" s="188"/>
      <c r="BD1" s="188"/>
      <c r="BE1" s="188"/>
      <c r="BF1" s="188"/>
      <c r="BG1" s="188"/>
      <c r="BH1" s="188"/>
      <c r="BI1" s="188"/>
      <c r="BJ1" s="188"/>
      <c r="BK1" s="188"/>
      <c r="BL1" s="188"/>
      <c r="BM1" s="188"/>
      <c r="BN1" s="188"/>
      <c r="BO1" s="188"/>
      <c r="BP1" s="188"/>
    </row>
    <row r="2" spans="2:68" ht="20.100000000000001" customHeight="1" x14ac:dyDescent="0.15">
      <c r="B2" t="s">
        <v>1</v>
      </c>
      <c r="E2" s="105"/>
      <c r="F2" s="105"/>
      <c r="G2" s="105"/>
      <c r="H2" s="105"/>
      <c r="I2" s="105"/>
      <c r="J2" s="105"/>
      <c r="K2" s="105"/>
      <c r="L2" s="105"/>
      <c r="M2" s="105"/>
      <c r="N2" s="106"/>
      <c r="O2" s="107"/>
      <c r="P2" s="107"/>
      <c r="Q2" s="107"/>
      <c r="R2" s="107"/>
      <c r="S2" s="108"/>
      <c r="T2" s="108"/>
      <c r="U2" s="108"/>
      <c r="V2" s="108"/>
      <c r="W2" s="108"/>
      <c r="X2" s="108"/>
      <c r="Y2" s="108"/>
      <c r="Z2" s="108"/>
      <c r="AA2" s="108"/>
      <c r="AB2" s="108"/>
      <c r="AC2" s="108"/>
      <c r="AD2" s="108"/>
      <c r="AE2" s="108"/>
      <c r="AF2" s="108"/>
      <c r="AG2" s="108"/>
      <c r="AM2" s="28"/>
      <c r="AN2" s="28"/>
      <c r="AO2" s="28"/>
      <c r="AP2" s="28"/>
      <c r="AQ2" s="28"/>
      <c r="AR2" s="28"/>
      <c r="AS2" s="28"/>
      <c r="AT2" s="28"/>
      <c r="AU2" s="28"/>
      <c r="AV2" s="28"/>
      <c r="AW2" s="188"/>
      <c r="AX2" s="188"/>
      <c r="AY2" s="188"/>
      <c r="AZ2" s="188"/>
      <c r="BA2" s="188"/>
      <c r="BB2" s="188"/>
      <c r="BC2" s="188"/>
      <c r="BD2" s="188"/>
      <c r="BE2" s="188"/>
      <c r="BF2" s="188"/>
      <c r="BG2" s="188"/>
      <c r="BH2" s="188"/>
      <c r="BI2" s="188"/>
      <c r="BJ2" s="188"/>
      <c r="BK2" s="188"/>
      <c r="BL2" s="188"/>
      <c r="BM2" s="188"/>
      <c r="BN2" s="188"/>
      <c r="BO2" s="188"/>
      <c r="BP2" s="188"/>
    </row>
    <row r="3" spans="2:68" ht="20.100000000000001" customHeight="1" x14ac:dyDescent="0.15">
      <c r="B3" t="s">
        <v>2</v>
      </c>
      <c r="E3" s="105"/>
      <c r="F3" s="105"/>
      <c r="G3" s="105"/>
      <c r="H3" s="105"/>
      <c r="I3" s="105"/>
      <c r="J3" s="105"/>
      <c r="K3" s="105"/>
      <c r="L3" s="105"/>
      <c r="M3" s="105"/>
      <c r="N3" s="106"/>
      <c r="O3" s="107"/>
      <c r="P3" s="107"/>
      <c r="Q3" s="107"/>
      <c r="R3" s="107"/>
      <c r="S3" s="108"/>
      <c r="T3" s="108"/>
      <c r="U3" s="108"/>
      <c r="V3" s="108"/>
      <c r="W3" s="108"/>
      <c r="X3" s="108"/>
      <c r="Y3" s="108"/>
      <c r="Z3" s="108"/>
      <c r="AA3" s="108"/>
      <c r="AB3" s="108"/>
      <c r="AC3" s="108"/>
      <c r="AD3" s="108"/>
      <c r="AE3" s="108"/>
      <c r="AF3" s="108"/>
      <c r="AG3" s="108"/>
      <c r="AM3" s="28"/>
      <c r="AN3" s="28"/>
      <c r="AO3" s="28"/>
      <c r="AP3" s="28"/>
      <c r="AQ3" s="28"/>
      <c r="AR3" s="28"/>
      <c r="AS3" s="28"/>
      <c r="AT3" s="28"/>
      <c r="AU3" s="28"/>
      <c r="AV3" s="28"/>
      <c r="AW3" s="188"/>
      <c r="AX3" s="188"/>
      <c r="AY3" s="188"/>
      <c r="AZ3" s="188"/>
      <c r="BA3" s="188"/>
      <c r="BB3" s="188"/>
      <c r="BC3" s="188"/>
      <c r="BD3" s="188"/>
      <c r="BE3" s="188"/>
      <c r="BF3" s="188"/>
      <c r="BG3" s="188"/>
      <c r="BH3" s="188"/>
      <c r="BI3" s="188"/>
      <c r="BJ3" s="188"/>
      <c r="BK3" s="188"/>
      <c r="BL3" s="188"/>
      <c r="BM3" s="188"/>
      <c r="BN3" s="188"/>
      <c r="BO3" s="188"/>
      <c r="BP3" s="188"/>
    </row>
    <row r="4" spans="2:68" ht="15" customHeight="1" x14ac:dyDescent="0.15">
      <c r="E4" s="107"/>
      <c r="F4" s="106"/>
      <c r="G4" s="107"/>
      <c r="H4" s="106"/>
      <c r="I4" s="107"/>
      <c r="J4" s="106"/>
      <c r="K4" s="107"/>
      <c r="L4" s="106"/>
      <c r="M4" s="107"/>
      <c r="N4" s="106"/>
      <c r="O4" s="109"/>
      <c r="P4" s="110"/>
      <c r="Q4" s="110"/>
      <c r="R4" s="107"/>
      <c r="S4" s="108"/>
      <c r="T4" s="108"/>
      <c r="U4" s="108"/>
      <c r="V4" s="108"/>
      <c r="W4" s="108"/>
      <c r="X4" s="108"/>
      <c r="Y4" s="108"/>
      <c r="Z4" s="108"/>
      <c r="AA4" s="108"/>
      <c r="AB4" s="108"/>
      <c r="AC4" s="108"/>
      <c r="AD4" s="108"/>
      <c r="AE4" s="108"/>
      <c r="AF4" s="108"/>
      <c r="AG4" s="108"/>
      <c r="AH4" s="107"/>
      <c r="AI4" s="107"/>
      <c r="AJ4" s="107"/>
      <c r="AK4" s="107"/>
      <c r="AL4" s="107"/>
      <c r="AM4" s="187"/>
      <c r="AN4" s="187"/>
      <c r="AO4" s="187"/>
      <c r="AP4" s="187"/>
      <c r="AQ4" s="187"/>
      <c r="AR4" s="187"/>
      <c r="AS4" s="187"/>
      <c r="AT4" s="187"/>
      <c r="AU4" s="187"/>
      <c r="AV4" s="187"/>
      <c r="AW4" s="188"/>
      <c r="AX4" s="188"/>
      <c r="AY4" s="188"/>
      <c r="AZ4" s="188"/>
      <c r="BA4" s="188"/>
      <c r="BB4" s="188"/>
      <c r="BC4" s="188"/>
      <c r="BD4" s="188"/>
      <c r="BE4" s="188"/>
      <c r="BF4" s="188"/>
      <c r="BG4" s="188"/>
      <c r="BH4" s="188"/>
      <c r="BI4" s="188"/>
      <c r="BJ4" s="188"/>
      <c r="BK4" s="188"/>
      <c r="BL4" s="188"/>
      <c r="BM4" s="188"/>
      <c r="BN4" s="188"/>
      <c r="BO4" s="188"/>
      <c r="BP4" s="188"/>
    </row>
    <row r="5" spans="2:68" ht="15" customHeight="1" x14ac:dyDescent="0.15">
      <c r="E5" s="111"/>
      <c r="F5" s="111"/>
      <c r="G5" s="111"/>
      <c r="H5" s="111"/>
      <c r="I5" s="111"/>
      <c r="J5" s="111"/>
      <c r="K5" s="111"/>
      <c r="L5" s="111"/>
      <c r="M5" s="111"/>
      <c r="N5" s="111"/>
      <c r="O5" s="112"/>
      <c r="P5" s="108"/>
      <c r="Q5" s="108"/>
      <c r="R5" s="108"/>
      <c r="S5" s="108"/>
      <c r="T5" s="108"/>
      <c r="U5" s="108"/>
      <c r="V5" s="108"/>
      <c r="W5" s="108"/>
      <c r="X5" s="108"/>
      <c r="Y5" s="108"/>
      <c r="Z5" s="108"/>
      <c r="AA5" s="108"/>
      <c r="AB5" s="108"/>
      <c r="AC5" s="108"/>
      <c r="AD5" s="108"/>
      <c r="AE5" s="108"/>
      <c r="AF5" s="108"/>
      <c r="AG5" s="108"/>
      <c r="AH5" s="108"/>
      <c r="AI5" s="108"/>
      <c r="AJ5" s="108"/>
      <c r="AK5" s="108"/>
      <c r="AL5" s="113"/>
      <c r="AM5" s="189"/>
      <c r="AN5" s="189"/>
      <c r="AO5" s="189"/>
      <c r="AP5" s="189"/>
      <c r="AQ5" s="189"/>
      <c r="AR5" s="189"/>
      <c r="AS5" s="189"/>
      <c r="AT5" s="189"/>
      <c r="AU5" s="189"/>
      <c r="AV5" s="189"/>
      <c r="AW5" s="188"/>
      <c r="AX5" s="188"/>
      <c r="AY5" s="188"/>
      <c r="AZ5" s="188"/>
      <c r="BA5" s="188"/>
      <c r="BB5" s="188"/>
      <c r="BC5" s="188"/>
      <c r="BD5" s="188"/>
      <c r="BE5" s="188"/>
      <c r="BF5" s="188"/>
      <c r="BG5" s="188"/>
      <c r="BH5" s="188"/>
      <c r="BI5" s="188"/>
      <c r="BJ5" s="188"/>
      <c r="BK5" s="188"/>
      <c r="BL5" s="188"/>
      <c r="BM5" s="188"/>
      <c r="BN5" s="188"/>
      <c r="BO5" s="188"/>
      <c r="BP5" s="188"/>
    </row>
    <row r="6" spans="2:68" ht="30" customHeight="1" x14ac:dyDescent="0.15">
      <c r="B6" s="114"/>
      <c r="C6" s="114"/>
      <c r="D6" s="114"/>
      <c r="E6" s="114"/>
      <c r="F6" s="114"/>
      <c r="G6" s="114"/>
      <c r="H6" s="114"/>
      <c r="I6" s="115"/>
      <c r="J6" s="116" t="s">
        <v>19</v>
      </c>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t="s">
        <v>22</v>
      </c>
      <c r="AK6" s="118"/>
      <c r="AL6" s="107"/>
      <c r="AM6" s="187"/>
      <c r="AN6" s="187"/>
      <c r="AO6" s="187"/>
      <c r="AP6" s="187"/>
      <c r="AQ6" s="187"/>
      <c r="AR6" s="187"/>
      <c r="AS6" s="187"/>
      <c r="AT6" s="187"/>
      <c r="AU6" s="187"/>
      <c r="AV6" s="187"/>
      <c r="AW6" s="188"/>
      <c r="AX6" s="188"/>
      <c r="AY6" s="188"/>
      <c r="AZ6" s="188"/>
      <c r="BA6" s="188"/>
      <c r="BB6" s="188"/>
      <c r="BC6" s="188"/>
      <c r="BD6" s="188"/>
      <c r="BE6" s="188"/>
      <c r="BF6" s="188"/>
      <c r="BG6" s="188"/>
      <c r="BH6" s="188"/>
      <c r="BI6" s="188"/>
      <c r="BJ6" s="188"/>
      <c r="BK6" s="188"/>
      <c r="BL6" s="188"/>
      <c r="BM6" s="188"/>
      <c r="BN6" s="188"/>
      <c r="BO6" s="188"/>
      <c r="BP6" s="188"/>
    </row>
    <row r="7" spans="2:68" ht="24.95" customHeight="1" x14ac:dyDescent="0.15">
      <c r="B7" s="119" t="s">
        <v>70</v>
      </c>
      <c r="C7" s="119" t="s">
        <v>71</v>
      </c>
      <c r="D7" s="119" t="s">
        <v>72</v>
      </c>
      <c r="E7" s="119" t="s">
        <v>73</v>
      </c>
      <c r="F7" s="119" t="s">
        <v>74</v>
      </c>
      <c r="G7" s="119" t="s">
        <v>75</v>
      </c>
      <c r="H7" s="120" t="s">
        <v>76</v>
      </c>
      <c r="I7" s="119" t="s">
        <v>77</v>
      </c>
      <c r="J7" s="121">
        <v>5</v>
      </c>
      <c r="K7" s="121">
        <v>6</v>
      </c>
      <c r="L7" s="121">
        <v>7</v>
      </c>
      <c r="M7" s="121">
        <v>8</v>
      </c>
      <c r="N7" s="121">
        <v>9</v>
      </c>
      <c r="O7" s="121">
        <v>10</v>
      </c>
      <c r="P7" s="121">
        <v>11</v>
      </c>
      <c r="Q7" s="121">
        <v>12</v>
      </c>
      <c r="R7" s="121">
        <v>13</v>
      </c>
      <c r="S7" s="121">
        <v>14</v>
      </c>
      <c r="T7" s="121">
        <v>15</v>
      </c>
      <c r="U7" s="121">
        <v>16</v>
      </c>
      <c r="V7" s="121">
        <v>17</v>
      </c>
      <c r="W7" s="121">
        <v>18</v>
      </c>
      <c r="X7" s="121">
        <v>19</v>
      </c>
      <c r="Y7" s="121">
        <v>20</v>
      </c>
      <c r="Z7" s="121">
        <v>21</v>
      </c>
      <c r="AA7" s="121">
        <v>22</v>
      </c>
      <c r="AB7" s="121">
        <v>23</v>
      </c>
      <c r="AC7" s="121">
        <v>24</v>
      </c>
      <c r="AD7" s="121">
        <v>25</v>
      </c>
      <c r="AE7" s="121">
        <v>26</v>
      </c>
      <c r="AF7" s="121">
        <v>27</v>
      </c>
      <c r="AG7" s="121">
        <v>28</v>
      </c>
      <c r="AH7" s="121">
        <v>29</v>
      </c>
      <c r="AI7" s="121">
        <v>30</v>
      </c>
      <c r="AJ7" s="121">
        <v>1</v>
      </c>
      <c r="AK7" s="121">
        <v>2</v>
      </c>
      <c r="AL7" s="107"/>
      <c r="AM7" s="187"/>
      <c r="AN7" s="187"/>
      <c r="AO7" s="187"/>
      <c r="AP7" s="187"/>
      <c r="AQ7" s="187"/>
      <c r="AR7" s="187"/>
      <c r="AS7" s="187"/>
      <c r="AT7" s="187"/>
      <c r="AU7" s="187"/>
      <c r="AV7" s="187"/>
      <c r="AW7" s="188"/>
      <c r="AX7" s="188"/>
      <c r="AY7" s="188"/>
      <c r="AZ7" s="188"/>
      <c r="BA7" s="188"/>
      <c r="BB7" s="188"/>
      <c r="BC7" s="188"/>
      <c r="BD7" s="188"/>
      <c r="BE7" s="188"/>
      <c r="BF7" s="188"/>
      <c r="BG7" s="188"/>
      <c r="BH7" s="188"/>
      <c r="BI7" s="188"/>
      <c r="BJ7" s="188"/>
      <c r="BK7" s="188"/>
      <c r="BL7" s="188"/>
      <c r="BM7" s="188"/>
      <c r="BN7" s="188"/>
      <c r="BO7" s="188"/>
      <c r="BP7" s="188"/>
    </row>
    <row r="8" spans="2:68" x14ac:dyDescent="0.15">
      <c r="B8" s="170">
        <v>17506</v>
      </c>
      <c r="C8" s="170" t="s">
        <v>402</v>
      </c>
      <c r="D8" s="170" t="s">
        <v>403</v>
      </c>
      <c r="E8" s="170" t="s">
        <v>404</v>
      </c>
      <c r="F8" s="170" t="s">
        <v>135</v>
      </c>
      <c r="G8" s="170" t="s">
        <v>135</v>
      </c>
      <c r="H8" s="170">
        <v>20</v>
      </c>
      <c r="I8" s="169"/>
      <c r="J8" s="170"/>
      <c r="K8" s="171"/>
      <c r="L8" s="171"/>
      <c r="M8" s="171"/>
      <c r="N8" s="171"/>
      <c r="O8" s="171"/>
      <c r="P8" s="171"/>
      <c r="Q8" s="171"/>
      <c r="R8" s="171"/>
      <c r="S8" s="171"/>
      <c r="T8" s="171"/>
      <c r="U8" s="171"/>
      <c r="V8" s="171"/>
      <c r="W8" s="171"/>
      <c r="X8" s="171"/>
      <c r="Y8" s="171"/>
      <c r="Z8" s="171"/>
      <c r="AA8" s="171"/>
      <c r="AB8" s="171"/>
      <c r="AC8" s="171"/>
      <c r="AD8" s="171"/>
      <c r="AE8" s="171"/>
      <c r="AF8" s="171"/>
      <c r="AG8" s="171"/>
      <c r="AH8" s="171"/>
      <c r="AI8" s="171"/>
      <c r="AJ8" s="171"/>
      <c r="AK8" s="171"/>
      <c r="AL8" s="141"/>
      <c r="AM8" s="188"/>
      <c r="AN8" s="188"/>
      <c r="AO8" s="188"/>
      <c r="AP8" s="188"/>
      <c r="AQ8" s="188"/>
      <c r="AR8" s="188"/>
      <c r="AS8" s="188"/>
      <c r="AT8" s="188"/>
      <c r="AU8" s="188"/>
      <c r="AV8" s="188"/>
      <c r="AW8" s="188"/>
      <c r="AX8" s="188"/>
      <c r="AY8" s="188"/>
      <c r="AZ8" s="188"/>
      <c r="BA8" s="188"/>
      <c r="BB8" s="188"/>
      <c r="BC8" s="188"/>
      <c r="BD8" s="188"/>
      <c r="BE8" s="188"/>
      <c r="BF8" s="188"/>
      <c r="BG8" s="188"/>
      <c r="BH8" s="188"/>
      <c r="BI8" s="188"/>
      <c r="BJ8" s="188"/>
      <c r="BK8" s="188"/>
      <c r="BL8" s="188"/>
      <c r="BM8" s="188"/>
      <c r="BN8" s="188"/>
      <c r="BO8" s="188"/>
      <c r="BP8" s="188"/>
    </row>
    <row r="9" spans="2:68" x14ac:dyDescent="0.15">
      <c r="B9" s="141">
        <v>1941</v>
      </c>
      <c r="C9" s="141" t="s">
        <v>405</v>
      </c>
      <c r="D9" s="141" t="s">
        <v>403</v>
      </c>
      <c r="E9" s="141" t="s">
        <v>404</v>
      </c>
      <c r="F9" s="141" t="s">
        <v>246</v>
      </c>
      <c r="G9" s="141" t="s">
        <v>246</v>
      </c>
      <c r="H9" s="141">
        <v>28</v>
      </c>
      <c r="I9" s="172"/>
      <c r="J9" s="141" t="s">
        <v>83</v>
      </c>
      <c r="K9" s="173" t="s">
        <v>83</v>
      </c>
      <c r="L9" s="173" t="s">
        <v>83</v>
      </c>
      <c r="M9" s="173" t="s">
        <v>83</v>
      </c>
      <c r="N9" s="173" t="s">
        <v>83</v>
      </c>
      <c r="O9" s="173" t="s">
        <v>83</v>
      </c>
      <c r="P9" s="173" t="s">
        <v>83</v>
      </c>
      <c r="Q9" s="173" t="s">
        <v>83</v>
      </c>
      <c r="R9" s="173" t="s">
        <v>83</v>
      </c>
      <c r="S9" s="173" t="s">
        <v>83</v>
      </c>
      <c r="T9" s="173" t="s">
        <v>83</v>
      </c>
      <c r="U9" s="173" t="s">
        <v>83</v>
      </c>
      <c r="V9" s="173" t="s">
        <v>83</v>
      </c>
      <c r="W9" s="173" t="s">
        <v>83</v>
      </c>
      <c r="X9" s="173" t="s">
        <v>83</v>
      </c>
      <c r="Y9" s="173" t="s">
        <v>83</v>
      </c>
      <c r="Z9" s="173" t="s">
        <v>83</v>
      </c>
      <c r="AA9" s="173" t="s">
        <v>83</v>
      </c>
      <c r="AB9" s="173" t="s">
        <v>83</v>
      </c>
      <c r="AC9" s="173" t="s">
        <v>83</v>
      </c>
      <c r="AD9" s="173" t="s">
        <v>83</v>
      </c>
      <c r="AE9" s="173" t="s">
        <v>83</v>
      </c>
      <c r="AF9" s="173" t="s">
        <v>83</v>
      </c>
      <c r="AG9" s="173" t="s">
        <v>83</v>
      </c>
      <c r="AH9" s="173" t="s">
        <v>83</v>
      </c>
      <c r="AI9" s="173" t="s">
        <v>83</v>
      </c>
      <c r="AJ9" s="173" t="s">
        <v>83</v>
      </c>
      <c r="AK9" s="173" t="s">
        <v>83</v>
      </c>
      <c r="AL9" s="141"/>
      <c r="AM9" s="188"/>
      <c r="AN9" s="188"/>
      <c r="AO9" s="188"/>
      <c r="AP9" s="188"/>
      <c r="AQ9" s="188"/>
      <c r="AR9" s="188"/>
      <c r="AS9" s="188"/>
      <c r="AT9" s="188"/>
      <c r="AU9" s="188"/>
      <c r="AV9" s="188"/>
      <c r="AW9" s="188"/>
      <c r="AX9" s="188"/>
      <c r="AY9" s="188"/>
      <c r="AZ9" s="188"/>
      <c r="BA9" s="188"/>
      <c r="BB9" s="188"/>
      <c r="BC9" s="188"/>
      <c r="BD9" s="188"/>
      <c r="BE9" s="188"/>
      <c r="BF9" s="188"/>
      <c r="BG9" s="188"/>
      <c r="BH9" s="188"/>
      <c r="BI9" s="188"/>
      <c r="BJ9" s="188"/>
      <c r="BK9" s="188"/>
      <c r="BL9" s="188"/>
      <c r="BM9" s="188"/>
      <c r="BN9" s="188"/>
      <c r="BO9" s="188"/>
      <c r="BP9" s="188"/>
    </row>
    <row r="10" spans="2:68" x14ac:dyDescent="0.15">
      <c r="B10" s="170">
        <v>11477</v>
      </c>
      <c r="C10" s="170" t="s">
        <v>406</v>
      </c>
      <c r="D10" s="170" t="s">
        <v>403</v>
      </c>
      <c r="E10" s="170" t="s">
        <v>404</v>
      </c>
      <c r="F10" s="170" t="s">
        <v>407</v>
      </c>
      <c r="G10" s="170" t="s">
        <v>408</v>
      </c>
      <c r="H10" s="170">
        <v>59</v>
      </c>
      <c r="I10" s="169"/>
      <c r="J10" s="170"/>
      <c r="K10" s="171"/>
      <c r="L10" s="171"/>
      <c r="M10" s="171"/>
      <c r="N10" s="171"/>
      <c r="O10" s="171"/>
      <c r="P10" s="171"/>
      <c r="Q10" s="171"/>
      <c r="R10" s="171"/>
      <c r="S10" s="171"/>
      <c r="T10" s="171"/>
      <c r="U10" s="171"/>
      <c r="V10" s="171"/>
      <c r="W10" s="171"/>
      <c r="X10" s="171"/>
      <c r="Y10" s="171"/>
      <c r="Z10" s="171"/>
      <c r="AA10" s="171"/>
      <c r="AB10" s="171"/>
      <c r="AC10" s="171"/>
      <c r="AD10" s="171"/>
      <c r="AE10" s="171"/>
      <c r="AF10" s="171"/>
      <c r="AG10" s="171"/>
      <c r="AH10" s="171"/>
      <c r="AI10" s="171"/>
      <c r="AJ10" s="171"/>
      <c r="AK10" s="171"/>
      <c r="AL10" s="141"/>
      <c r="AM10" s="188"/>
      <c r="AN10" s="188"/>
      <c r="AO10" s="188"/>
      <c r="AP10" s="188"/>
      <c r="AQ10" s="188"/>
      <c r="AR10" s="188"/>
      <c r="AS10" s="188"/>
      <c r="AT10" s="188"/>
      <c r="AU10" s="188"/>
      <c r="AV10" s="188"/>
      <c r="AW10" s="188"/>
      <c r="AX10" s="188"/>
      <c r="AY10" s="188"/>
      <c r="AZ10" s="188"/>
      <c r="BA10" s="188"/>
      <c r="BB10" s="188"/>
      <c r="BC10" s="188"/>
      <c r="BD10" s="188"/>
      <c r="BE10" s="188"/>
      <c r="BF10" s="188"/>
      <c r="BG10" s="188"/>
      <c r="BH10" s="188"/>
      <c r="BI10" s="188"/>
      <c r="BJ10" s="188"/>
      <c r="BK10" s="188"/>
      <c r="BL10" s="188"/>
      <c r="BM10" s="188"/>
      <c r="BN10" s="188"/>
      <c r="BO10" s="188"/>
      <c r="BP10" s="188"/>
    </row>
    <row r="11" spans="2:68" x14ac:dyDescent="0.15">
      <c r="B11" s="141">
        <v>41761</v>
      </c>
      <c r="C11" s="141" t="s">
        <v>409</v>
      </c>
      <c r="D11" s="141" t="s">
        <v>403</v>
      </c>
      <c r="E11" s="141" t="s">
        <v>404</v>
      </c>
      <c r="F11" s="141" t="s">
        <v>246</v>
      </c>
      <c r="G11" s="141" t="s">
        <v>246</v>
      </c>
      <c r="H11" s="141">
        <v>19</v>
      </c>
      <c r="I11" s="172"/>
      <c r="J11" s="141"/>
      <c r="K11" s="173"/>
      <c r="L11" s="173"/>
      <c r="M11" s="173"/>
      <c r="N11" s="173"/>
      <c r="O11" s="173"/>
      <c r="P11" s="173"/>
      <c r="Q11" s="173"/>
      <c r="R11" s="173"/>
      <c r="S11" s="173"/>
      <c r="T11" s="173"/>
      <c r="U11" s="173"/>
      <c r="V11" s="173"/>
      <c r="W11" s="173"/>
      <c r="X11" s="173"/>
      <c r="Y11" s="173"/>
      <c r="Z11" s="173"/>
      <c r="AA11" s="173"/>
      <c r="AB11" s="173"/>
      <c r="AC11" s="173"/>
      <c r="AD11" s="173"/>
      <c r="AE11" s="173"/>
      <c r="AF11" s="173"/>
      <c r="AG11" s="173"/>
      <c r="AH11" s="173"/>
      <c r="AI11" s="173"/>
      <c r="AJ11" s="173"/>
      <c r="AK11" s="173"/>
      <c r="AL11" s="141"/>
      <c r="AM11" s="188"/>
      <c r="AN11" s="188"/>
      <c r="AO11" s="188"/>
      <c r="AP11" s="188"/>
      <c r="AQ11" s="188"/>
      <c r="AR11" s="188"/>
      <c r="AS11" s="188"/>
      <c r="AT11" s="188"/>
      <c r="AU11" s="188"/>
      <c r="AV11" s="188"/>
      <c r="AW11" s="188"/>
      <c r="AX11" s="188"/>
      <c r="AY11" s="188"/>
      <c r="AZ11" s="188"/>
      <c r="BA11" s="188"/>
      <c r="BB11" s="188"/>
      <c r="BC11" s="188"/>
      <c r="BD11" s="188"/>
      <c r="BE11" s="188"/>
      <c r="BF11" s="188"/>
      <c r="BG11" s="188"/>
      <c r="BH11" s="188"/>
      <c r="BI11" s="188"/>
      <c r="BJ11" s="188"/>
      <c r="BK11" s="188"/>
      <c r="BL11" s="188"/>
      <c r="BM11" s="188"/>
      <c r="BN11" s="188"/>
      <c r="BO11" s="188"/>
      <c r="BP11" s="188"/>
    </row>
    <row r="12" spans="2:68" x14ac:dyDescent="0.15">
      <c r="B12" s="170">
        <v>25463</v>
      </c>
      <c r="C12" s="170" t="s">
        <v>410</v>
      </c>
      <c r="D12" s="170" t="s">
        <v>403</v>
      </c>
      <c r="E12" s="170" t="s">
        <v>404</v>
      </c>
      <c r="F12" s="170" t="s">
        <v>411</v>
      </c>
      <c r="G12" s="170" t="s">
        <v>412</v>
      </c>
      <c r="H12" s="170">
        <v>19</v>
      </c>
      <c r="I12" s="169"/>
      <c r="J12" s="170" t="s">
        <v>83</v>
      </c>
      <c r="K12" s="171" t="s">
        <v>83</v>
      </c>
      <c r="L12" s="171" t="s">
        <v>83</v>
      </c>
      <c r="M12" s="171" t="s">
        <v>83</v>
      </c>
      <c r="N12" s="171" t="s">
        <v>83</v>
      </c>
      <c r="O12" s="171" t="s">
        <v>83</v>
      </c>
      <c r="P12" s="171" t="s">
        <v>83</v>
      </c>
      <c r="Q12" s="171" t="s">
        <v>83</v>
      </c>
      <c r="R12" s="171" t="s">
        <v>83</v>
      </c>
      <c r="S12" s="171" t="s">
        <v>83</v>
      </c>
      <c r="T12" s="171" t="s">
        <v>83</v>
      </c>
      <c r="U12" s="171" t="s">
        <v>83</v>
      </c>
      <c r="V12" s="171" t="s">
        <v>83</v>
      </c>
      <c r="W12" s="171" t="s">
        <v>83</v>
      </c>
      <c r="X12" s="171" t="s">
        <v>83</v>
      </c>
      <c r="Y12" s="171" t="s">
        <v>83</v>
      </c>
      <c r="Z12" s="171" t="s">
        <v>83</v>
      </c>
      <c r="AA12" s="171" t="s">
        <v>83</v>
      </c>
      <c r="AB12" s="171" t="s">
        <v>83</v>
      </c>
      <c r="AC12" s="171" t="s">
        <v>88</v>
      </c>
      <c r="AD12" s="171" t="s">
        <v>83</v>
      </c>
      <c r="AE12" s="171" t="s">
        <v>83</v>
      </c>
      <c r="AF12" s="171" t="s">
        <v>83</v>
      </c>
      <c r="AG12" s="171" t="s">
        <v>83</v>
      </c>
      <c r="AH12" s="171" t="s">
        <v>83</v>
      </c>
      <c r="AI12" s="171" t="s">
        <v>83</v>
      </c>
      <c r="AJ12" s="171" t="s">
        <v>83</v>
      </c>
      <c r="AK12" s="171" t="s">
        <v>83</v>
      </c>
      <c r="AL12" s="141"/>
      <c r="AM12" s="188"/>
      <c r="AN12" s="188"/>
      <c r="AO12" s="188"/>
      <c r="AP12" s="188"/>
      <c r="AQ12" s="188"/>
      <c r="AR12" s="188"/>
      <c r="AS12" s="188"/>
      <c r="AT12" s="188"/>
      <c r="AU12" s="188"/>
      <c r="AV12" s="188"/>
      <c r="AW12" s="188"/>
      <c r="AX12" s="188"/>
      <c r="AY12" s="188"/>
      <c r="AZ12" s="188"/>
      <c r="BA12" s="188"/>
      <c r="BB12" s="188"/>
      <c r="BC12" s="188"/>
      <c r="BD12" s="188"/>
      <c r="BE12" s="188"/>
      <c r="BF12" s="188"/>
      <c r="BG12" s="188"/>
      <c r="BH12" s="188"/>
      <c r="BI12" s="188"/>
      <c r="BJ12" s="188"/>
      <c r="BK12" s="188"/>
      <c r="BL12" s="188"/>
      <c r="BM12" s="188"/>
      <c r="BN12" s="188"/>
      <c r="BO12" s="188"/>
      <c r="BP12" s="188"/>
    </row>
    <row r="13" spans="2:68" x14ac:dyDescent="0.15">
      <c r="B13" s="141">
        <v>17037</v>
      </c>
      <c r="C13" s="141" t="s">
        <v>413</v>
      </c>
      <c r="D13" s="141" t="s">
        <v>403</v>
      </c>
      <c r="E13" s="141" t="s">
        <v>404</v>
      </c>
      <c r="F13" s="141" t="s">
        <v>414</v>
      </c>
      <c r="G13" s="141" t="s">
        <v>415</v>
      </c>
      <c r="H13" s="141">
        <v>18</v>
      </c>
      <c r="I13" s="172"/>
      <c r="J13" s="141"/>
      <c r="K13" s="173"/>
      <c r="L13" s="173"/>
      <c r="M13" s="173"/>
      <c r="N13" s="173"/>
      <c r="O13" s="173"/>
      <c r="P13" s="173"/>
      <c r="Q13" s="173"/>
      <c r="R13" s="173"/>
      <c r="S13" s="173"/>
      <c r="T13" s="173"/>
      <c r="U13" s="173"/>
      <c r="V13" s="173"/>
      <c r="W13" s="173"/>
      <c r="X13" s="173"/>
      <c r="Y13" s="173"/>
      <c r="Z13" s="173"/>
      <c r="AA13" s="173"/>
      <c r="AB13" s="173"/>
      <c r="AC13" s="173"/>
      <c r="AD13" s="173"/>
      <c r="AE13" s="173"/>
      <c r="AF13" s="173"/>
      <c r="AG13" s="173"/>
      <c r="AH13" s="173"/>
      <c r="AI13" s="173"/>
      <c r="AJ13" s="173"/>
      <c r="AK13" s="173"/>
      <c r="AL13" s="141"/>
      <c r="AM13" s="188"/>
      <c r="AN13" s="188"/>
      <c r="AO13" s="188"/>
      <c r="AP13" s="188"/>
      <c r="AQ13" s="188"/>
      <c r="AR13" s="188"/>
      <c r="AS13" s="188"/>
      <c r="AT13" s="188"/>
      <c r="AU13" s="188"/>
      <c r="AV13" s="188"/>
      <c r="AW13" s="188"/>
      <c r="AX13" s="188"/>
      <c r="AY13" s="188"/>
      <c r="AZ13" s="188"/>
      <c r="BA13" s="188"/>
      <c r="BB13" s="188"/>
      <c r="BC13" s="188"/>
      <c r="BD13" s="188"/>
      <c r="BE13" s="188"/>
      <c r="BF13" s="188"/>
      <c r="BG13" s="188"/>
      <c r="BH13" s="188"/>
      <c r="BI13" s="188"/>
      <c r="BJ13" s="188"/>
      <c r="BK13" s="188"/>
      <c r="BL13" s="188"/>
      <c r="BM13" s="188"/>
      <c r="BN13" s="188"/>
      <c r="BO13" s="188"/>
      <c r="BP13" s="188"/>
    </row>
    <row r="14" spans="2:68" x14ac:dyDescent="0.15">
      <c r="B14" s="170">
        <v>31990</v>
      </c>
      <c r="C14" s="170" t="s">
        <v>416</v>
      </c>
      <c r="D14" s="170" t="s">
        <v>403</v>
      </c>
      <c r="E14" s="170" t="s">
        <v>404</v>
      </c>
      <c r="F14" s="170" t="s">
        <v>378</v>
      </c>
      <c r="G14" s="170" t="s">
        <v>378</v>
      </c>
      <c r="H14" s="170">
        <v>29</v>
      </c>
      <c r="I14" s="169"/>
      <c r="J14" s="170"/>
      <c r="K14" s="171"/>
      <c r="L14" s="171"/>
      <c r="M14" s="171"/>
      <c r="N14" s="171"/>
      <c r="O14" s="171"/>
      <c r="P14" s="171"/>
      <c r="Q14" s="171"/>
      <c r="R14" s="171"/>
      <c r="S14" s="171"/>
      <c r="T14" s="171"/>
      <c r="U14" s="171"/>
      <c r="V14" s="171"/>
      <c r="W14" s="171"/>
      <c r="X14" s="171"/>
      <c r="Y14" s="171"/>
      <c r="Z14" s="171"/>
      <c r="AA14" s="171"/>
      <c r="AB14" s="171"/>
      <c r="AC14" s="171"/>
      <c r="AD14" s="171"/>
      <c r="AE14" s="171"/>
      <c r="AF14" s="171"/>
      <c r="AG14" s="171"/>
      <c r="AH14" s="171"/>
      <c r="AI14" s="171"/>
      <c r="AJ14" s="171"/>
      <c r="AK14" s="171"/>
      <c r="AL14" s="141"/>
      <c r="AM14" s="188"/>
      <c r="AN14" s="188"/>
      <c r="AO14" s="188"/>
      <c r="AP14" s="188"/>
      <c r="AQ14" s="188"/>
      <c r="AR14" s="188"/>
      <c r="AS14" s="188"/>
      <c r="AT14" s="188"/>
      <c r="AU14" s="188"/>
      <c r="AV14" s="188"/>
      <c r="AW14" s="188"/>
      <c r="AX14" s="188"/>
      <c r="AY14" s="188"/>
      <c r="AZ14" s="188"/>
      <c r="BA14" s="188"/>
      <c r="BB14" s="188"/>
      <c r="BC14" s="188"/>
      <c r="BD14" s="188"/>
      <c r="BE14" s="188"/>
      <c r="BF14" s="188"/>
      <c r="BG14" s="188"/>
      <c r="BH14" s="188"/>
      <c r="BI14" s="188"/>
      <c r="BJ14" s="188"/>
      <c r="BK14" s="188"/>
      <c r="BL14" s="188"/>
      <c r="BM14" s="188"/>
      <c r="BN14" s="188"/>
      <c r="BO14" s="188"/>
      <c r="BP14" s="188"/>
    </row>
    <row r="15" spans="2:68" x14ac:dyDescent="0.15">
      <c r="B15" s="141">
        <v>11475</v>
      </c>
      <c r="C15" s="141" t="s">
        <v>417</v>
      </c>
      <c r="D15" s="141" t="s">
        <v>403</v>
      </c>
      <c r="E15" s="141" t="s">
        <v>404</v>
      </c>
      <c r="F15" s="141" t="s">
        <v>218</v>
      </c>
      <c r="G15" s="141" t="s">
        <v>378</v>
      </c>
      <c r="H15" s="141">
        <v>30</v>
      </c>
      <c r="I15" s="172"/>
      <c r="J15" s="141" t="s">
        <v>83</v>
      </c>
      <c r="K15" s="173" t="s">
        <v>83</v>
      </c>
      <c r="L15" s="173" t="s">
        <v>83</v>
      </c>
      <c r="M15" s="173" t="s">
        <v>83</v>
      </c>
      <c r="N15" s="173" t="s">
        <v>83</v>
      </c>
      <c r="O15" s="173" t="s">
        <v>83</v>
      </c>
      <c r="P15" s="173" t="s">
        <v>83</v>
      </c>
      <c r="Q15" s="173" t="s">
        <v>83</v>
      </c>
      <c r="R15" s="173" t="s">
        <v>83</v>
      </c>
      <c r="S15" s="173" t="s">
        <v>83</v>
      </c>
      <c r="T15" s="173" t="s">
        <v>83</v>
      </c>
      <c r="U15" s="173" t="s">
        <v>83</v>
      </c>
      <c r="V15" s="173" t="s">
        <v>83</v>
      </c>
      <c r="W15" s="173" t="s">
        <v>83</v>
      </c>
      <c r="X15" s="173" t="s">
        <v>83</v>
      </c>
      <c r="Y15" s="173" t="s">
        <v>83</v>
      </c>
      <c r="Z15" s="173" t="s">
        <v>83</v>
      </c>
      <c r="AA15" s="173" t="s">
        <v>83</v>
      </c>
      <c r="AB15" s="173" t="s">
        <v>83</v>
      </c>
      <c r="AC15" s="173" t="s">
        <v>83</v>
      </c>
      <c r="AD15" s="173" t="s">
        <v>83</v>
      </c>
      <c r="AE15" s="173" t="s">
        <v>83</v>
      </c>
      <c r="AF15" s="173" t="s">
        <v>83</v>
      </c>
      <c r="AG15" s="173" t="s">
        <v>83</v>
      </c>
      <c r="AH15" s="173" t="s">
        <v>83</v>
      </c>
      <c r="AI15" s="173" t="s">
        <v>83</v>
      </c>
      <c r="AJ15" s="173" t="s">
        <v>83</v>
      </c>
      <c r="AK15" s="173" t="s">
        <v>83</v>
      </c>
      <c r="AL15" s="141"/>
      <c r="AM15" s="188"/>
      <c r="AN15" s="188"/>
      <c r="AO15" s="188"/>
      <c r="AP15" s="188"/>
      <c r="AQ15" s="188"/>
      <c r="AR15" s="188"/>
      <c r="AS15" s="188"/>
      <c r="AT15" s="188"/>
      <c r="AU15" s="188"/>
      <c r="AV15" s="188"/>
      <c r="AW15" s="188"/>
      <c r="AX15" s="188"/>
      <c r="AY15" s="188"/>
      <c r="AZ15" s="188"/>
      <c r="BA15" s="188"/>
      <c r="BB15" s="188"/>
      <c r="BC15" s="188"/>
      <c r="BD15" s="188"/>
      <c r="BE15" s="188"/>
      <c r="BF15" s="188"/>
      <c r="BG15" s="188"/>
      <c r="BH15" s="188"/>
      <c r="BI15" s="188"/>
      <c r="BJ15" s="188"/>
      <c r="BK15" s="188"/>
      <c r="BL15" s="188"/>
      <c r="BM15" s="188"/>
      <c r="BN15" s="188"/>
      <c r="BO15" s="188"/>
      <c r="BP15" s="188"/>
    </row>
    <row r="16" spans="2:68" x14ac:dyDescent="0.15">
      <c r="B16" s="170">
        <v>18174</v>
      </c>
      <c r="C16" s="170" t="s">
        <v>418</v>
      </c>
      <c r="D16" s="170" t="s">
        <v>403</v>
      </c>
      <c r="E16" s="170" t="s">
        <v>404</v>
      </c>
      <c r="F16" s="170" t="s">
        <v>419</v>
      </c>
      <c r="G16" s="170" t="s">
        <v>310</v>
      </c>
      <c r="H16" s="170">
        <v>24</v>
      </c>
      <c r="I16" s="169"/>
      <c r="J16" s="170" t="s">
        <v>83</v>
      </c>
      <c r="K16" s="171" t="s">
        <v>83</v>
      </c>
      <c r="L16" s="171" t="s">
        <v>83</v>
      </c>
      <c r="M16" s="171" t="s">
        <v>83</v>
      </c>
      <c r="N16" s="171" t="s">
        <v>83</v>
      </c>
      <c r="O16" s="171" t="s">
        <v>83</v>
      </c>
      <c r="P16" s="171" t="s">
        <v>83</v>
      </c>
      <c r="Q16" s="171" t="s">
        <v>83</v>
      </c>
      <c r="R16" s="171" t="s">
        <v>83</v>
      </c>
      <c r="S16" s="171" t="s">
        <v>83</v>
      </c>
      <c r="T16" s="171" t="s">
        <v>83</v>
      </c>
      <c r="U16" s="171" t="s">
        <v>83</v>
      </c>
      <c r="V16" s="171" t="s">
        <v>83</v>
      </c>
      <c r="W16" s="171" t="s">
        <v>83</v>
      </c>
      <c r="X16" s="171" t="s">
        <v>83</v>
      </c>
      <c r="Y16" s="171" t="s">
        <v>83</v>
      </c>
      <c r="Z16" s="171" t="s">
        <v>83</v>
      </c>
      <c r="AA16" s="171" t="s">
        <v>83</v>
      </c>
      <c r="AB16" s="171" t="s">
        <v>83</v>
      </c>
      <c r="AC16" s="171" t="s">
        <v>83</v>
      </c>
      <c r="AD16" s="171" t="s">
        <v>83</v>
      </c>
      <c r="AE16" s="171" t="s">
        <v>83</v>
      </c>
      <c r="AF16" s="171" t="s">
        <v>83</v>
      </c>
      <c r="AG16" s="171" t="s">
        <v>83</v>
      </c>
      <c r="AH16" s="171" t="s">
        <v>83</v>
      </c>
      <c r="AI16" s="171" t="s">
        <v>83</v>
      </c>
      <c r="AJ16" s="171" t="s">
        <v>83</v>
      </c>
      <c r="AK16" s="171" t="s">
        <v>83</v>
      </c>
      <c r="AL16" s="141"/>
      <c r="AM16" s="188"/>
      <c r="AN16" s="188"/>
      <c r="AO16" s="188"/>
      <c r="AP16" s="188"/>
      <c r="AQ16" s="188"/>
      <c r="AR16" s="188"/>
      <c r="AS16" s="188"/>
      <c r="AT16" s="188"/>
      <c r="AU16" s="188"/>
      <c r="AV16" s="188"/>
      <c r="AW16" s="188"/>
      <c r="AX16" s="188"/>
      <c r="AY16" s="188"/>
      <c r="AZ16" s="188"/>
      <c r="BA16" s="188"/>
      <c r="BB16" s="188"/>
      <c r="BC16" s="188"/>
      <c r="BD16" s="188"/>
      <c r="BE16" s="188"/>
      <c r="BF16" s="188"/>
      <c r="BG16" s="188"/>
      <c r="BH16" s="188"/>
      <c r="BI16" s="188"/>
      <c r="BJ16" s="188"/>
      <c r="BK16" s="188"/>
      <c r="BL16" s="188"/>
      <c r="BM16" s="188"/>
      <c r="BN16" s="188"/>
      <c r="BO16" s="188"/>
      <c r="BP16" s="188"/>
    </row>
    <row r="17" spans="2:68" x14ac:dyDescent="0.15">
      <c r="B17" s="141">
        <v>11483</v>
      </c>
      <c r="C17" s="141" t="s">
        <v>420</v>
      </c>
      <c r="D17" s="141" t="s">
        <v>403</v>
      </c>
      <c r="E17" s="141" t="s">
        <v>404</v>
      </c>
      <c r="F17" s="141" t="s">
        <v>419</v>
      </c>
      <c r="G17" s="141" t="s">
        <v>340</v>
      </c>
      <c r="H17" s="141">
        <v>34</v>
      </c>
      <c r="I17" s="172"/>
      <c r="J17" s="141" t="s">
        <v>83</v>
      </c>
      <c r="K17" s="173" t="s">
        <v>83</v>
      </c>
      <c r="L17" s="173" t="s">
        <v>83</v>
      </c>
      <c r="M17" s="173" t="s">
        <v>83</v>
      </c>
      <c r="N17" s="173" t="s">
        <v>83</v>
      </c>
      <c r="O17" s="173" t="s">
        <v>83</v>
      </c>
      <c r="P17" s="173" t="s">
        <v>83</v>
      </c>
      <c r="Q17" s="173" t="s">
        <v>83</v>
      </c>
      <c r="R17" s="173" t="s">
        <v>83</v>
      </c>
      <c r="S17" s="173" t="s">
        <v>83</v>
      </c>
      <c r="T17" s="173" t="s">
        <v>83</v>
      </c>
      <c r="U17" s="173" t="s">
        <v>83</v>
      </c>
      <c r="V17" s="173" t="s">
        <v>83</v>
      </c>
      <c r="W17" s="173" t="s">
        <v>83</v>
      </c>
      <c r="X17" s="173" t="s">
        <v>83</v>
      </c>
      <c r="Y17" s="173" t="s">
        <v>83</v>
      </c>
      <c r="Z17" s="173" t="s">
        <v>83</v>
      </c>
      <c r="AA17" s="173" t="s">
        <v>83</v>
      </c>
      <c r="AB17" s="173" t="s">
        <v>83</v>
      </c>
      <c r="AC17" s="173" t="s">
        <v>83</v>
      </c>
      <c r="AD17" s="173" t="s">
        <v>83</v>
      </c>
      <c r="AE17" s="173" t="s">
        <v>83</v>
      </c>
      <c r="AF17" s="173" t="s">
        <v>83</v>
      </c>
      <c r="AG17" s="173" t="s">
        <v>83</v>
      </c>
      <c r="AH17" s="173" t="s">
        <v>83</v>
      </c>
      <c r="AI17" s="173" t="s">
        <v>83</v>
      </c>
      <c r="AJ17" s="173" t="s">
        <v>83</v>
      </c>
      <c r="AK17" s="173" t="s">
        <v>83</v>
      </c>
      <c r="AL17" s="141"/>
      <c r="AM17" s="188"/>
      <c r="AN17" s="188"/>
      <c r="AO17" s="188"/>
      <c r="AP17" s="188"/>
      <c r="AQ17" s="188"/>
      <c r="AR17" s="188"/>
      <c r="AS17" s="188"/>
      <c r="AT17" s="188"/>
      <c r="AU17" s="188"/>
      <c r="AV17" s="188"/>
      <c r="AW17" s="188"/>
      <c r="AX17" s="188"/>
      <c r="AY17" s="188"/>
      <c r="AZ17" s="188"/>
      <c r="BA17" s="188"/>
      <c r="BB17" s="188"/>
      <c r="BC17" s="188"/>
      <c r="BD17" s="188"/>
      <c r="BE17" s="188"/>
      <c r="BF17" s="188"/>
      <c r="BG17" s="188"/>
      <c r="BH17" s="188"/>
      <c r="BI17" s="188"/>
      <c r="BJ17" s="188"/>
      <c r="BK17" s="188"/>
      <c r="BL17" s="188"/>
      <c r="BM17" s="188"/>
      <c r="BN17" s="188"/>
      <c r="BO17" s="188"/>
      <c r="BP17" s="188"/>
    </row>
    <row r="18" spans="2:68" x14ac:dyDescent="0.15">
      <c r="B18" s="170">
        <v>18198</v>
      </c>
      <c r="C18" s="170" t="s">
        <v>421</v>
      </c>
      <c r="D18" s="170" t="s">
        <v>403</v>
      </c>
      <c r="E18" s="170" t="s">
        <v>404</v>
      </c>
      <c r="F18" s="170" t="s">
        <v>422</v>
      </c>
      <c r="G18" s="170" t="s">
        <v>422</v>
      </c>
      <c r="H18" s="170">
        <v>30</v>
      </c>
      <c r="I18" s="169"/>
      <c r="J18" s="170"/>
      <c r="K18" s="171"/>
      <c r="L18" s="171"/>
      <c r="M18" s="171"/>
      <c r="N18" s="171"/>
      <c r="O18" s="171"/>
      <c r="P18" s="171"/>
      <c r="Q18" s="171"/>
      <c r="R18" s="171"/>
      <c r="S18" s="171"/>
      <c r="T18" s="171"/>
      <c r="U18" s="171"/>
      <c r="V18" s="171"/>
      <c r="W18" s="171"/>
      <c r="X18" s="171"/>
      <c r="Y18" s="171"/>
      <c r="Z18" s="171"/>
      <c r="AA18" s="171"/>
      <c r="AB18" s="171"/>
      <c r="AC18" s="171"/>
      <c r="AD18" s="171"/>
      <c r="AE18" s="171"/>
      <c r="AF18" s="171"/>
      <c r="AG18" s="171"/>
      <c r="AH18" s="171"/>
      <c r="AI18" s="171"/>
      <c r="AJ18" s="171"/>
      <c r="AK18" s="171"/>
      <c r="AL18" s="141"/>
      <c r="AM18" s="188"/>
      <c r="AN18" s="188"/>
      <c r="AO18" s="188"/>
      <c r="AP18" s="188"/>
      <c r="AQ18" s="188"/>
      <c r="AR18" s="188"/>
      <c r="AS18" s="188"/>
      <c r="AT18" s="188"/>
      <c r="AU18" s="188"/>
      <c r="AV18" s="188"/>
      <c r="AW18" s="188"/>
      <c r="AX18" s="188"/>
      <c r="AY18" s="188"/>
      <c r="AZ18" s="188"/>
      <c r="BA18" s="188"/>
      <c r="BB18" s="188"/>
      <c r="BC18" s="188"/>
      <c r="BD18" s="188"/>
      <c r="BE18" s="188"/>
      <c r="BF18" s="188"/>
      <c r="BG18" s="188"/>
      <c r="BH18" s="188"/>
      <c r="BI18" s="188"/>
      <c r="BJ18" s="188"/>
      <c r="BK18" s="188"/>
      <c r="BL18" s="188"/>
      <c r="BM18" s="188"/>
      <c r="BN18" s="188"/>
      <c r="BO18" s="188"/>
      <c r="BP18" s="188"/>
    </row>
    <row r="19" spans="2:68" x14ac:dyDescent="0.15">
      <c r="B19" s="141">
        <v>18208</v>
      </c>
      <c r="C19" s="141" t="s">
        <v>423</v>
      </c>
      <c r="D19" s="141" t="s">
        <v>403</v>
      </c>
      <c r="E19" s="141" t="s">
        <v>404</v>
      </c>
      <c r="F19" s="141" t="s">
        <v>424</v>
      </c>
      <c r="G19" s="141" t="s">
        <v>424</v>
      </c>
      <c r="H19" s="141">
        <v>48</v>
      </c>
      <c r="I19" s="172"/>
      <c r="J19" s="141"/>
      <c r="K19" s="173"/>
      <c r="L19" s="173"/>
      <c r="M19" s="173"/>
      <c r="N19" s="173"/>
      <c r="O19" s="173"/>
      <c r="P19" s="173"/>
      <c r="Q19" s="173"/>
      <c r="R19" s="173"/>
      <c r="S19" s="173"/>
      <c r="T19" s="173"/>
      <c r="U19" s="173"/>
      <c r="V19" s="173"/>
      <c r="W19" s="173"/>
      <c r="X19" s="173"/>
      <c r="Y19" s="173"/>
      <c r="Z19" s="173"/>
      <c r="AA19" s="173"/>
      <c r="AB19" s="173"/>
      <c r="AC19" s="173"/>
      <c r="AD19" s="173"/>
      <c r="AE19" s="173"/>
      <c r="AF19" s="173"/>
      <c r="AG19" s="173"/>
      <c r="AH19" s="173"/>
      <c r="AI19" s="173"/>
      <c r="AJ19" s="173"/>
      <c r="AK19" s="173"/>
      <c r="AL19" s="141"/>
      <c r="AM19" s="188"/>
      <c r="AN19" s="188"/>
      <c r="AO19" s="188"/>
      <c r="AP19" s="188"/>
      <c r="AQ19" s="188"/>
      <c r="AR19" s="188"/>
      <c r="AS19" s="188"/>
      <c r="AT19" s="188"/>
      <c r="AU19" s="188"/>
      <c r="AV19" s="188"/>
      <c r="AW19" s="188"/>
      <c r="AX19" s="188"/>
      <c r="AY19" s="188"/>
      <c r="AZ19" s="188"/>
      <c r="BA19" s="188"/>
      <c r="BB19" s="188"/>
      <c r="BC19" s="188"/>
      <c r="BD19" s="188"/>
      <c r="BE19" s="188"/>
      <c r="BF19" s="188"/>
      <c r="BG19" s="188"/>
      <c r="BH19" s="188"/>
      <c r="BI19" s="188"/>
      <c r="BJ19" s="188"/>
      <c r="BK19" s="188"/>
      <c r="BL19" s="188"/>
      <c r="BM19" s="188"/>
      <c r="BN19" s="188"/>
      <c r="BO19" s="188"/>
      <c r="BP19" s="188"/>
    </row>
    <row r="20" spans="2:68" x14ac:dyDescent="0.15">
      <c r="B20" s="170">
        <v>11487</v>
      </c>
      <c r="C20" s="170" t="s">
        <v>425</v>
      </c>
      <c r="D20" s="170" t="s">
        <v>403</v>
      </c>
      <c r="E20" s="170" t="s">
        <v>404</v>
      </c>
      <c r="F20" s="170" t="s">
        <v>426</v>
      </c>
      <c r="G20" s="170" t="s">
        <v>426</v>
      </c>
      <c r="H20" s="170">
        <v>49</v>
      </c>
      <c r="I20" s="169"/>
      <c r="J20" s="170"/>
      <c r="K20" s="171"/>
      <c r="L20" s="171"/>
      <c r="M20" s="171"/>
      <c r="N20" s="171"/>
      <c r="O20" s="171"/>
      <c r="P20" s="171"/>
      <c r="Q20" s="171"/>
      <c r="R20" s="171"/>
      <c r="S20" s="171"/>
      <c r="T20" s="171"/>
      <c r="U20" s="171"/>
      <c r="V20" s="171"/>
      <c r="W20" s="171"/>
      <c r="X20" s="171"/>
      <c r="Y20" s="171"/>
      <c r="Z20" s="171"/>
      <c r="AA20" s="171"/>
      <c r="AB20" s="171"/>
      <c r="AC20" s="171"/>
      <c r="AD20" s="171"/>
      <c r="AE20" s="171"/>
      <c r="AF20" s="171"/>
      <c r="AG20" s="171"/>
      <c r="AH20" s="171"/>
      <c r="AI20" s="171"/>
      <c r="AJ20" s="171"/>
      <c r="AK20" s="171"/>
      <c r="AL20" s="141"/>
      <c r="AM20" s="188"/>
      <c r="AN20" s="188"/>
      <c r="AO20" s="188"/>
      <c r="AP20" s="188"/>
      <c r="AQ20" s="188"/>
      <c r="AR20" s="188"/>
      <c r="AS20" s="188"/>
      <c r="AT20" s="188"/>
      <c r="AU20" s="188"/>
      <c r="AV20" s="188"/>
      <c r="AW20" s="188"/>
      <c r="AX20" s="188"/>
      <c r="AY20" s="188"/>
      <c r="AZ20" s="188"/>
      <c r="BA20" s="188"/>
      <c r="BB20" s="188"/>
      <c r="BC20" s="188"/>
      <c r="BD20" s="188"/>
      <c r="BE20" s="188"/>
      <c r="BF20" s="188"/>
      <c r="BG20" s="188"/>
      <c r="BH20" s="188"/>
      <c r="BI20" s="188"/>
      <c r="BJ20" s="188"/>
      <c r="BK20" s="188"/>
      <c r="BL20" s="188"/>
      <c r="BM20" s="188"/>
      <c r="BN20" s="188"/>
      <c r="BO20" s="188"/>
      <c r="BP20" s="188"/>
    </row>
    <row r="21" spans="2:68" x14ac:dyDescent="0.15">
      <c r="B21" s="141">
        <v>19520</v>
      </c>
      <c r="C21" s="141" t="s">
        <v>427</v>
      </c>
      <c r="D21" s="141" t="s">
        <v>403</v>
      </c>
      <c r="E21" s="141" t="s">
        <v>404</v>
      </c>
      <c r="F21" s="141" t="s">
        <v>428</v>
      </c>
      <c r="G21" s="141" t="s">
        <v>331</v>
      </c>
      <c r="H21" s="141">
        <v>42</v>
      </c>
      <c r="I21" s="172" t="s">
        <v>87</v>
      </c>
      <c r="J21" s="141" t="s">
        <v>83</v>
      </c>
      <c r="K21" s="173" t="s">
        <v>83</v>
      </c>
      <c r="L21" s="173" t="s">
        <v>83</v>
      </c>
      <c r="M21" s="173" t="s">
        <v>83</v>
      </c>
      <c r="N21" s="173" t="s">
        <v>83</v>
      </c>
      <c r="O21" s="173" t="s">
        <v>83</v>
      </c>
      <c r="P21" s="173" t="s">
        <v>83</v>
      </c>
      <c r="Q21" s="173" t="s">
        <v>83</v>
      </c>
      <c r="R21" s="173" t="s">
        <v>83</v>
      </c>
      <c r="S21" s="173" t="s">
        <v>83</v>
      </c>
      <c r="T21" s="173" t="s">
        <v>83</v>
      </c>
      <c r="U21" s="173" t="s">
        <v>83</v>
      </c>
      <c r="V21" s="173" t="s">
        <v>83</v>
      </c>
      <c r="W21" s="173" t="s">
        <v>83</v>
      </c>
      <c r="X21" s="173" t="s">
        <v>83</v>
      </c>
      <c r="Y21" s="173" t="s">
        <v>83</v>
      </c>
      <c r="Z21" s="173" t="s">
        <v>83</v>
      </c>
      <c r="AA21" s="173" t="s">
        <v>83</v>
      </c>
      <c r="AB21" s="173" t="s">
        <v>83</v>
      </c>
      <c r="AC21" s="173" t="s">
        <v>83</v>
      </c>
      <c r="AD21" s="173" t="s">
        <v>83</v>
      </c>
      <c r="AE21" s="173" t="s">
        <v>83</v>
      </c>
      <c r="AF21" s="173" t="s">
        <v>83</v>
      </c>
      <c r="AG21" s="173" t="s">
        <v>83</v>
      </c>
      <c r="AH21" s="173" t="s">
        <v>83</v>
      </c>
      <c r="AI21" s="173" t="s">
        <v>83</v>
      </c>
      <c r="AJ21" s="173" t="s">
        <v>83</v>
      </c>
      <c r="AK21" s="173" t="s">
        <v>83</v>
      </c>
      <c r="AL21" s="141"/>
      <c r="AM21" s="188"/>
      <c r="AN21" s="188"/>
      <c r="AO21" s="188"/>
      <c r="AP21" s="188"/>
      <c r="AQ21" s="188"/>
      <c r="AR21" s="188"/>
      <c r="AS21" s="188"/>
      <c r="AT21" s="188"/>
      <c r="AU21" s="188"/>
      <c r="AV21" s="188"/>
      <c r="AW21" s="188"/>
      <c r="AX21" s="188"/>
      <c r="AY21" s="188"/>
      <c r="AZ21" s="188"/>
      <c r="BA21" s="188"/>
      <c r="BB21" s="188"/>
      <c r="BC21" s="188"/>
      <c r="BD21" s="188"/>
      <c r="BE21" s="188"/>
      <c r="BF21" s="188"/>
      <c r="BG21" s="188"/>
      <c r="BH21" s="188"/>
      <c r="BI21" s="188"/>
      <c r="BJ21" s="188"/>
      <c r="BK21" s="188"/>
      <c r="BL21" s="188"/>
      <c r="BM21" s="188"/>
      <c r="BN21" s="188"/>
      <c r="BO21" s="188"/>
      <c r="BP21" s="188"/>
    </row>
    <row r="22" spans="2:68" x14ac:dyDescent="0.15">
      <c r="B22" s="170">
        <v>64512</v>
      </c>
      <c r="C22" s="170" t="s">
        <v>429</v>
      </c>
      <c r="D22" s="170" t="s">
        <v>403</v>
      </c>
      <c r="E22" s="170" t="s">
        <v>404</v>
      </c>
      <c r="F22" s="170" t="s">
        <v>430</v>
      </c>
      <c r="G22" s="170" t="s">
        <v>430</v>
      </c>
      <c r="H22" s="170">
        <v>12</v>
      </c>
      <c r="I22" s="169"/>
      <c r="J22" s="170"/>
      <c r="K22" s="171"/>
      <c r="L22" s="171"/>
      <c r="M22" s="171"/>
      <c r="N22" s="171"/>
      <c r="O22" s="171"/>
      <c r="P22" s="171"/>
      <c r="Q22" s="171"/>
      <c r="R22" s="171"/>
      <c r="S22" s="171"/>
      <c r="T22" s="171"/>
      <c r="U22" s="171"/>
      <c r="V22" s="171"/>
      <c r="W22" s="171"/>
      <c r="X22" s="171"/>
      <c r="Y22" s="171"/>
      <c r="Z22" s="171"/>
      <c r="AA22" s="171"/>
      <c r="AB22" s="171"/>
      <c r="AC22" s="171"/>
      <c r="AD22" s="171"/>
      <c r="AE22" s="171"/>
      <c r="AF22" s="171"/>
      <c r="AG22" s="171"/>
      <c r="AH22" s="171"/>
      <c r="AI22" s="171"/>
      <c r="AJ22" s="171"/>
      <c r="AK22" s="171"/>
      <c r="AL22" s="141"/>
      <c r="AM22" s="188"/>
      <c r="AN22" s="188"/>
      <c r="AO22" s="188"/>
      <c r="AP22" s="188"/>
      <c r="AQ22" s="188"/>
      <c r="AR22" s="188"/>
      <c r="AS22" s="188"/>
      <c r="AT22" s="188"/>
      <c r="AU22" s="188"/>
      <c r="AV22" s="188"/>
      <c r="AW22" s="188"/>
      <c r="AX22" s="188"/>
      <c r="AY22" s="188"/>
      <c r="AZ22" s="188"/>
      <c r="BA22" s="188"/>
      <c r="BB22" s="188"/>
      <c r="BC22" s="188"/>
      <c r="BD22" s="188"/>
      <c r="BE22" s="188"/>
      <c r="BF22" s="188"/>
      <c r="BG22" s="188"/>
      <c r="BH22" s="188"/>
      <c r="BI22" s="188"/>
      <c r="BJ22" s="188"/>
      <c r="BK22" s="188"/>
      <c r="BL22" s="188"/>
      <c r="BM22" s="188"/>
      <c r="BN22" s="188"/>
      <c r="BO22" s="188"/>
      <c r="BP22" s="188"/>
    </row>
    <row r="23" spans="2:68" x14ac:dyDescent="0.15">
      <c r="B23" s="141">
        <v>11482</v>
      </c>
      <c r="C23" s="141" t="s">
        <v>431</v>
      </c>
      <c r="D23" s="141" t="s">
        <v>403</v>
      </c>
      <c r="E23" s="141" t="s">
        <v>404</v>
      </c>
      <c r="F23" s="141" t="s">
        <v>216</v>
      </c>
      <c r="G23" s="141" t="s">
        <v>216</v>
      </c>
      <c r="H23" s="141">
        <v>28</v>
      </c>
      <c r="I23" s="172"/>
      <c r="J23" s="141" t="s">
        <v>83</v>
      </c>
      <c r="K23" s="173" t="s">
        <v>83</v>
      </c>
      <c r="L23" s="173" t="s">
        <v>83</v>
      </c>
      <c r="M23" s="173" t="s">
        <v>83</v>
      </c>
      <c r="N23" s="173" t="s">
        <v>83</v>
      </c>
      <c r="O23" s="173" t="s">
        <v>83</v>
      </c>
      <c r="P23" s="173" t="s">
        <v>83</v>
      </c>
      <c r="Q23" s="173" t="s">
        <v>83</v>
      </c>
      <c r="R23" s="173" t="s">
        <v>83</v>
      </c>
      <c r="S23" s="173" t="s">
        <v>83</v>
      </c>
      <c r="T23" s="173" t="s">
        <v>83</v>
      </c>
      <c r="U23" s="173" t="s">
        <v>83</v>
      </c>
      <c r="V23" s="173" t="s">
        <v>83</v>
      </c>
      <c r="W23" s="173" t="s">
        <v>83</v>
      </c>
      <c r="X23" s="173" t="s">
        <v>83</v>
      </c>
      <c r="Y23" s="173" t="s">
        <v>83</v>
      </c>
      <c r="Z23" s="173" t="s">
        <v>83</v>
      </c>
      <c r="AA23" s="173" t="s">
        <v>83</v>
      </c>
      <c r="AB23" s="173" t="s">
        <v>83</v>
      </c>
      <c r="AC23" s="173" t="s">
        <v>83</v>
      </c>
      <c r="AD23" s="173" t="s">
        <v>83</v>
      </c>
      <c r="AE23" s="173" t="s">
        <v>83</v>
      </c>
      <c r="AF23" s="173" t="s">
        <v>83</v>
      </c>
      <c r="AG23" s="173" t="s">
        <v>83</v>
      </c>
      <c r="AH23" s="173" t="s">
        <v>83</v>
      </c>
      <c r="AI23" s="173" t="s">
        <v>83</v>
      </c>
      <c r="AJ23" s="173" t="s">
        <v>83</v>
      </c>
      <c r="AK23" s="173" t="s">
        <v>83</v>
      </c>
      <c r="AL23" s="141"/>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row>
    <row r="24" spans="2:68" x14ac:dyDescent="0.15">
      <c r="B24" s="170">
        <v>11485</v>
      </c>
      <c r="C24" s="170" t="s">
        <v>432</v>
      </c>
      <c r="D24" s="170" t="s">
        <v>403</v>
      </c>
      <c r="E24" s="170" t="s">
        <v>404</v>
      </c>
      <c r="F24" s="170" t="s">
        <v>131</v>
      </c>
      <c r="G24" s="170" t="s">
        <v>342</v>
      </c>
      <c r="H24" s="170">
        <v>22</v>
      </c>
      <c r="I24" s="169"/>
      <c r="J24" s="170"/>
      <c r="K24" s="171"/>
      <c r="L24" s="171"/>
      <c r="M24" s="171"/>
      <c r="N24" s="171"/>
      <c r="O24" s="171"/>
      <c r="P24" s="171"/>
      <c r="Q24" s="171"/>
      <c r="R24" s="171"/>
      <c r="S24" s="171"/>
      <c r="T24" s="171"/>
      <c r="U24" s="171"/>
      <c r="V24" s="171"/>
      <c r="W24" s="171"/>
      <c r="X24" s="171"/>
      <c r="Y24" s="171"/>
      <c r="Z24" s="171"/>
      <c r="AA24" s="171"/>
      <c r="AB24" s="171"/>
      <c r="AC24" s="171"/>
      <c r="AD24" s="171"/>
      <c r="AE24" s="171"/>
      <c r="AF24" s="171"/>
      <c r="AG24" s="171"/>
      <c r="AH24" s="171"/>
      <c r="AI24" s="171"/>
      <c r="AJ24" s="171"/>
      <c r="AK24" s="171"/>
      <c r="AL24" s="141"/>
      <c r="AM24" s="188"/>
      <c r="AN24" s="188"/>
      <c r="AO24" s="188"/>
      <c r="AP24" s="188"/>
      <c r="AQ24" s="188"/>
      <c r="AR24" s="188"/>
      <c r="AS24" s="188"/>
      <c r="AT24" s="188"/>
      <c r="AU24" s="188"/>
      <c r="AV24" s="188"/>
      <c r="AW24" s="188"/>
      <c r="AX24" s="188"/>
      <c r="AY24" s="188"/>
      <c r="AZ24" s="188"/>
      <c r="BA24" s="188"/>
      <c r="BB24" s="188"/>
      <c r="BC24" s="188"/>
      <c r="BD24" s="188"/>
      <c r="BE24" s="188"/>
      <c r="BF24" s="188"/>
      <c r="BG24" s="188"/>
      <c r="BH24" s="188"/>
      <c r="BI24" s="188"/>
      <c r="BJ24" s="188"/>
      <c r="BK24" s="188"/>
      <c r="BL24" s="188"/>
      <c r="BM24" s="188"/>
      <c r="BN24" s="188"/>
      <c r="BO24" s="188"/>
      <c r="BP24" s="188"/>
    </row>
    <row r="25" spans="2:68" x14ac:dyDescent="0.15">
      <c r="B25" s="141">
        <v>80575</v>
      </c>
      <c r="C25" s="141" t="s">
        <v>433</v>
      </c>
      <c r="D25" s="141" t="s">
        <v>403</v>
      </c>
      <c r="E25" s="141" t="s">
        <v>434</v>
      </c>
      <c r="F25" s="141"/>
      <c r="G25" s="141"/>
      <c r="H25" s="141">
        <v>14</v>
      </c>
      <c r="I25" s="172"/>
      <c r="J25" s="141"/>
      <c r="K25" s="173"/>
      <c r="L25" s="173"/>
      <c r="M25" s="173"/>
      <c r="N25" s="173"/>
      <c r="O25" s="173"/>
      <c r="P25" s="173"/>
      <c r="Q25" s="173"/>
      <c r="R25" s="173"/>
      <c r="S25" s="173"/>
      <c r="T25" s="173"/>
      <c r="U25" s="173"/>
      <c r="V25" s="173"/>
      <c r="W25" s="173"/>
      <c r="X25" s="173"/>
      <c r="Y25" s="173"/>
      <c r="Z25" s="173"/>
      <c r="AA25" s="173"/>
      <c r="AB25" s="173"/>
      <c r="AC25" s="173"/>
      <c r="AD25" s="173"/>
      <c r="AE25" s="173"/>
      <c r="AF25" s="173"/>
      <c r="AG25" s="173"/>
      <c r="AH25" s="173"/>
      <c r="AI25" s="173"/>
      <c r="AJ25" s="173"/>
      <c r="AK25" s="173"/>
      <c r="AL25" s="141"/>
      <c r="AM25" s="188"/>
      <c r="AN25" s="188"/>
      <c r="AO25" s="188"/>
      <c r="AP25" s="188"/>
      <c r="AQ25" s="188"/>
      <c r="AR25" s="188"/>
      <c r="AS25" s="188"/>
      <c r="AT25" s="188"/>
      <c r="AU25" s="188"/>
      <c r="AV25" s="188"/>
      <c r="AW25" s="188"/>
      <c r="AX25" s="188"/>
      <c r="AY25" s="188"/>
      <c r="AZ25" s="188"/>
      <c r="BA25" s="188"/>
      <c r="BB25" s="188"/>
      <c r="BC25" s="188"/>
      <c r="BD25" s="188"/>
      <c r="BE25" s="188"/>
      <c r="BF25" s="188"/>
      <c r="BG25" s="188"/>
      <c r="BH25" s="188"/>
      <c r="BI25" s="188"/>
      <c r="BJ25" s="188"/>
      <c r="BK25" s="188"/>
      <c r="BL25" s="188"/>
      <c r="BM25" s="188"/>
      <c r="BN25" s="188"/>
      <c r="BO25" s="188"/>
      <c r="BP25" s="188"/>
    </row>
    <row r="26" spans="2:68" x14ac:dyDescent="0.15">
      <c r="B26" s="170">
        <v>78997</v>
      </c>
      <c r="C26" s="170" t="s">
        <v>435</v>
      </c>
      <c r="D26" s="170" t="s">
        <v>403</v>
      </c>
      <c r="E26" s="170" t="s">
        <v>434</v>
      </c>
      <c r="F26" s="170"/>
      <c r="G26" s="170"/>
      <c r="H26" s="170">
        <v>10</v>
      </c>
      <c r="I26" s="169"/>
      <c r="J26" s="170"/>
      <c r="K26" s="171"/>
      <c r="L26" s="171"/>
      <c r="M26" s="171"/>
      <c r="N26" s="171"/>
      <c r="O26" s="171"/>
      <c r="P26" s="171"/>
      <c r="Q26" s="171"/>
      <c r="R26" s="171"/>
      <c r="S26" s="171"/>
      <c r="T26" s="171"/>
      <c r="U26" s="171"/>
      <c r="V26" s="171"/>
      <c r="W26" s="171"/>
      <c r="X26" s="171"/>
      <c r="Y26" s="171"/>
      <c r="Z26" s="171"/>
      <c r="AA26" s="171"/>
      <c r="AB26" s="171"/>
      <c r="AC26" s="171"/>
      <c r="AD26" s="171"/>
      <c r="AE26" s="171"/>
      <c r="AF26" s="171"/>
      <c r="AG26" s="171"/>
      <c r="AH26" s="171"/>
      <c r="AI26" s="171"/>
      <c r="AJ26" s="171"/>
      <c r="AK26" s="171"/>
      <c r="AL26" s="141"/>
      <c r="AM26" s="188"/>
      <c r="AN26" s="188"/>
      <c r="AO26" s="188"/>
      <c r="AP26" s="188"/>
      <c r="AQ26" s="188"/>
      <c r="AR26" s="188"/>
      <c r="AS26" s="188"/>
      <c r="AT26" s="188"/>
      <c r="AU26" s="188"/>
      <c r="AV26" s="188"/>
      <c r="AW26" s="188"/>
      <c r="AX26" s="188"/>
      <c r="AY26" s="188"/>
      <c r="AZ26" s="188"/>
      <c r="BA26" s="188"/>
      <c r="BB26" s="188"/>
      <c r="BC26" s="188"/>
      <c r="BD26" s="188"/>
      <c r="BE26" s="188"/>
      <c r="BF26" s="188"/>
      <c r="BG26" s="188"/>
      <c r="BH26" s="188"/>
      <c r="BI26" s="188"/>
      <c r="BJ26" s="188"/>
      <c r="BK26" s="188"/>
      <c r="BL26" s="188"/>
      <c r="BM26" s="188"/>
      <c r="BN26" s="188"/>
      <c r="BO26" s="188"/>
      <c r="BP26" s="188"/>
    </row>
    <row r="27" spans="2:68" x14ac:dyDescent="0.15">
      <c r="B27" s="141">
        <v>139</v>
      </c>
      <c r="C27" s="141" t="s">
        <v>436</v>
      </c>
      <c r="D27" s="141" t="s">
        <v>403</v>
      </c>
      <c r="E27" s="141" t="s">
        <v>434</v>
      </c>
      <c r="F27" s="141" t="s">
        <v>437</v>
      </c>
      <c r="G27" s="141" t="s">
        <v>438</v>
      </c>
      <c r="H27" s="141">
        <v>165</v>
      </c>
      <c r="I27" s="172"/>
      <c r="J27" s="141" t="s">
        <v>83</v>
      </c>
      <c r="K27" s="173" t="s">
        <v>83</v>
      </c>
      <c r="L27" s="173" t="s">
        <v>83</v>
      </c>
      <c r="M27" s="173" t="s">
        <v>83</v>
      </c>
      <c r="N27" s="173" t="s">
        <v>83</v>
      </c>
      <c r="O27" s="173" t="s">
        <v>83</v>
      </c>
      <c r="P27" s="173" t="s">
        <v>83</v>
      </c>
      <c r="Q27" s="173" t="s">
        <v>83</v>
      </c>
      <c r="R27" s="173" t="s">
        <v>83</v>
      </c>
      <c r="S27" s="173" t="s">
        <v>83</v>
      </c>
      <c r="T27" s="173" t="s">
        <v>83</v>
      </c>
      <c r="U27" s="173" t="s">
        <v>83</v>
      </c>
      <c r="V27" s="173" t="s">
        <v>83</v>
      </c>
      <c r="W27" s="173" t="s">
        <v>83</v>
      </c>
      <c r="X27" s="173" t="s">
        <v>83</v>
      </c>
      <c r="Y27" s="173" t="s">
        <v>83</v>
      </c>
      <c r="Z27" s="173" t="s">
        <v>83</v>
      </c>
      <c r="AA27" s="173" t="s">
        <v>83</v>
      </c>
      <c r="AB27" s="173" t="s">
        <v>83</v>
      </c>
      <c r="AC27" s="173" t="s">
        <v>83</v>
      </c>
      <c r="AD27" s="173" t="s">
        <v>83</v>
      </c>
      <c r="AE27" s="173" t="s">
        <v>83</v>
      </c>
      <c r="AF27" s="173" t="s">
        <v>83</v>
      </c>
      <c r="AG27" s="173" t="s">
        <v>83</v>
      </c>
      <c r="AH27" s="173" t="s">
        <v>83</v>
      </c>
      <c r="AI27" s="173" t="s">
        <v>83</v>
      </c>
      <c r="AJ27" s="173" t="s">
        <v>83</v>
      </c>
      <c r="AK27" s="173" t="s">
        <v>83</v>
      </c>
      <c r="AL27" s="141"/>
      <c r="AM27" s="188"/>
      <c r="AN27" s="188"/>
      <c r="AO27" s="188"/>
      <c r="AP27" s="188"/>
      <c r="AQ27" s="188"/>
      <c r="AR27" s="188"/>
      <c r="AS27" s="188"/>
      <c r="AT27" s="188"/>
      <c r="AU27" s="188"/>
      <c r="AV27" s="188"/>
      <c r="AW27" s="188"/>
      <c r="AX27" s="188"/>
      <c r="AY27" s="188"/>
      <c r="AZ27" s="188"/>
      <c r="BA27" s="188"/>
      <c r="BB27" s="188"/>
      <c r="BC27" s="188"/>
      <c r="BD27" s="188"/>
      <c r="BE27" s="188"/>
      <c r="BF27" s="188"/>
      <c r="BG27" s="188"/>
      <c r="BH27" s="188"/>
      <c r="BI27" s="188"/>
      <c r="BJ27" s="188"/>
      <c r="BK27" s="188"/>
      <c r="BL27" s="188"/>
      <c r="BM27" s="188"/>
      <c r="BN27" s="188"/>
      <c r="BO27" s="188"/>
      <c r="BP27" s="188"/>
    </row>
    <row r="28" spans="2:68" x14ac:dyDescent="0.15">
      <c r="B28" s="170">
        <v>11471</v>
      </c>
      <c r="C28" s="170" t="s">
        <v>439</v>
      </c>
      <c r="D28" s="170" t="s">
        <v>403</v>
      </c>
      <c r="E28" s="170" t="s">
        <v>434</v>
      </c>
      <c r="F28" s="170" t="s">
        <v>440</v>
      </c>
      <c r="G28" s="170" t="s">
        <v>440</v>
      </c>
      <c r="H28" s="170">
        <v>40</v>
      </c>
      <c r="I28" s="169"/>
      <c r="J28" s="170"/>
      <c r="K28" s="171"/>
      <c r="L28" s="171"/>
      <c r="M28" s="171"/>
      <c r="N28" s="171"/>
      <c r="O28" s="171"/>
      <c r="P28" s="171"/>
      <c r="Q28" s="171"/>
      <c r="R28" s="171"/>
      <c r="S28" s="171"/>
      <c r="T28" s="171"/>
      <c r="U28" s="171"/>
      <c r="V28" s="171"/>
      <c r="W28" s="171"/>
      <c r="X28" s="171"/>
      <c r="Y28" s="171"/>
      <c r="Z28" s="171"/>
      <c r="AA28" s="171"/>
      <c r="AB28" s="171"/>
      <c r="AC28" s="171"/>
      <c r="AD28" s="171"/>
      <c r="AE28" s="171"/>
      <c r="AF28" s="171"/>
      <c r="AG28" s="171"/>
      <c r="AH28" s="171"/>
      <c r="AI28" s="171"/>
      <c r="AJ28" s="171"/>
      <c r="AK28" s="171"/>
      <c r="AL28" s="141"/>
      <c r="AM28" s="188"/>
      <c r="AN28" s="188"/>
      <c r="AO28" s="188"/>
      <c r="AP28" s="188"/>
      <c r="AQ28" s="188"/>
      <c r="AR28" s="188"/>
      <c r="AS28" s="188"/>
      <c r="AT28" s="188"/>
      <c r="AU28" s="188"/>
      <c r="AV28" s="188"/>
      <c r="AW28" s="188"/>
      <c r="AX28" s="188"/>
      <c r="AY28" s="188"/>
      <c r="AZ28" s="188"/>
      <c r="BA28" s="188"/>
      <c r="BB28" s="188"/>
      <c r="BC28" s="188"/>
      <c r="BD28" s="188"/>
      <c r="BE28" s="188"/>
      <c r="BF28" s="188"/>
      <c r="BG28" s="188"/>
      <c r="BH28" s="188"/>
      <c r="BI28" s="188"/>
      <c r="BJ28" s="188"/>
      <c r="BK28" s="188"/>
      <c r="BL28" s="188"/>
      <c r="BM28" s="188"/>
      <c r="BN28" s="188"/>
      <c r="BO28" s="188"/>
      <c r="BP28" s="188"/>
    </row>
    <row r="29" spans="2:68" x14ac:dyDescent="0.15">
      <c r="B29" s="141">
        <v>25635</v>
      </c>
      <c r="C29" s="141" t="s">
        <v>441</v>
      </c>
      <c r="D29" s="141" t="s">
        <v>403</v>
      </c>
      <c r="E29" s="141" t="s">
        <v>434</v>
      </c>
      <c r="F29" s="141" t="s">
        <v>107</v>
      </c>
      <c r="G29" s="141" t="s">
        <v>408</v>
      </c>
      <c r="H29" s="141">
        <v>179</v>
      </c>
      <c r="I29" s="172"/>
      <c r="J29" s="141" t="s">
        <v>83</v>
      </c>
      <c r="K29" s="173" t="s">
        <v>83</v>
      </c>
      <c r="L29" s="173" t="s">
        <v>83</v>
      </c>
      <c r="M29" s="173" t="s">
        <v>83</v>
      </c>
      <c r="N29" s="173" t="s">
        <v>83</v>
      </c>
      <c r="O29" s="173" t="s">
        <v>83</v>
      </c>
      <c r="P29" s="173" t="s">
        <v>83</v>
      </c>
      <c r="Q29" s="173" t="s">
        <v>83</v>
      </c>
      <c r="R29" s="173" t="s">
        <v>83</v>
      </c>
      <c r="S29" s="173" t="s">
        <v>83</v>
      </c>
      <c r="T29" s="173" t="s">
        <v>83</v>
      </c>
      <c r="U29" s="173" t="s">
        <v>83</v>
      </c>
      <c r="V29" s="173" t="s">
        <v>83</v>
      </c>
      <c r="W29" s="173" t="s">
        <v>83</v>
      </c>
      <c r="X29" s="173" t="s">
        <v>83</v>
      </c>
      <c r="Y29" s="173" t="s">
        <v>83</v>
      </c>
      <c r="Z29" s="173" t="s">
        <v>83</v>
      </c>
      <c r="AA29" s="173" t="s">
        <v>83</v>
      </c>
      <c r="AB29" s="173" t="s">
        <v>83</v>
      </c>
      <c r="AC29" s="173" t="s">
        <v>83</v>
      </c>
      <c r="AD29" s="173" t="s">
        <v>83</v>
      </c>
      <c r="AE29" s="173" t="s">
        <v>83</v>
      </c>
      <c r="AF29" s="173" t="s">
        <v>83</v>
      </c>
      <c r="AG29" s="173" t="s">
        <v>83</v>
      </c>
      <c r="AH29" s="173" t="s">
        <v>83</v>
      </c>
      <c r="AI29" s="173" t="s">
        <v>83</v>
      </c>
      <c r="AJ29" s="173" t="s">
        <v>83</v>
      </c>
      <c r="AK29" s="173" t="s">
        <v>83</v>
      </c>
      <c r="AL29" s="141"/>
      <c r="AM29" s="188"/>
      <c r="AN29" s="188"/>
      <c r="AO29" s="188"/>
      <c r="AP29" s="188"/>
      <c r="AQ29" s="188"/>
      <c r="AR29" s="188"/>
      <c r="AS29" s="188"/>
      <c r="AT29" s="188"/>
      <c r="AU29" s="188"/>
      <c r="AV29" s="188"/>
      <c r="AW29" s="188"/>
      <c r="AX29" s="188"/>
      <c r="AY29" s="188"/>
      <c r="AZ29" s="188"/>
      <c r="BA29" s="188"/>
      <c r="BB29" s="188"/>
      <c r="BC29" s="188"/>
      <c r="BD29" s="188"/>
      <c r="BE29" s="188"/>
      <c r="BF29" s="188"/>
      <c r="BG29" s="188"/>
      <c r="BH29" s="188"/>
      <c r="BI29" s="188"/>
      <c r="BJ29" s="188"/>
      <c r="BK29" s="188"/>
      <c r="BL29" s="188"/>
      <c r="BM29" s="188"/>
      <c r="BN29" s="188"/>
      <c r="BO29" s="188"/>
      <c r="BP29" s="188"/>
    </row>
    <row r="30" spans="2:68" x14ac:dyDescent="0.15">
      <c r="B30" s="170">
        <v>18189</v>
      </c>
      <c r="C30" s="170" t="s">
        <v>442</v>
      </c>
      <c r="D30" s="170" t="s">
        <v>403</v>
      </c>
      <c r="E30" s="170" t="s">
        <v>434</v>
      </c>
      <c r="F30" s="170" t="s">
        <v>345</v>
      </c>
      <c r="G30" s="170" t="s">
        <v>443</v>
      </c>
      <c r="H30" s="170">
        <v>48</v>
      </c>
      <c r="I30" s="169" t="s">
        <v>87</v>
      </c>
      <c r="J30" s="170" t="s">
        <v>115</v>
      </c>
      <c r="K30" s="171" t="s">
        <v>115</v>
      </c>
      <c r="L30" s="171" t="s">
        <v>115</v>
      </c>
      <c r="M30" s="171" t="s">
        <v>115</v>
      </c>
      <c r="N30" s="171" t="s">
        <v>115</v>
      </c>
      <c r="O30" s="171" t="s">
        <v>115</v>
      </c>
      <c r="P30" s="171" t="s">
        <v>115</v>
      </c>
      <c r="Q30" s="171" t="s">
        <v>115</v>
      </c>
      <c r="R30" s="171" t="s">
        <v>115</v>
      </c>
      <c r="S30" s="171" t="s">
        <v>115</v>
      </c>
      <c r="T30" s="171" t="s">
        <v>115</v>
      </c>
      <c r="U30" s="171" t="s">
        <v>115</v>
      </c>
      <c r="V30" s="171" t="s">
        <v>115</v>
      </c>
      <c r="W30" s="171" t="s">
        <v>115</v>
      </c>
      <c r="X30" s="171" t="s">
        <v>115</v>
      </c>
      <c r="Y30" s="171" t="s">
        <v>115</v>
      </c>
      <c r="Z30" s="171" t="s">
        <v>115</v>
      </c>
      <c r="AA30" s="171"/>
      <c r="AB30" s="171"/>
      <c r="AC30" s="171"/>
      <c r="AD30" s="171"/>
      <c r="AE30" s="171"/>
      <c r="AF30" s="171"/>
      <c r="AG30" s="171"/>
      <c r="AH30" s="171"/>
      <c r="AI30" s="171"/>
      <c r="AJ30" s="171"/>
      <c r="AK30" s="171"/>
      <c r="AL30" s="141"/>
      <c r="AM30" s="188"/>
      <c r="AN30" s="188"/>
      <c r="AO30" s="188"/>
      <c r="AP30" s="188"/>
      <c r="AQ30" s="188"/>
      <c r="AR30" s="188"/>
      <c r="AS30" s="188"/>
      <c r="AT30" s="188"/>
      <c r="AU30" s="188"/>
      <c r="AV30" s="188"/>
      <c r="AW30" s="188"/>
      <c r="AX30" s="188"/>
      <c r="AY30" s="188"/>
      <c r="AZ30" s="188"/>
      <c r="BA30" s="188"/>
      <c r="BB30" s="188"/>
      <c r="BC30" s="188"/>
      <c r="BD30" s="188"/>
      <c r="BE30" s="188"/>
      <c r="BF30" s="188"/>
      <c r="BG30" s="188"/>
      <c r="BH30" s="188"/>
      <c r="BI30" s="188"/>
      <c r="BJ30" s="188"/>
      <c r="BK30" s="188"/>
      <c r="BL30" s="188"/>
      <c r="BM30" s="188"/>
      <c r="BN30" s="188"/>
      <c r="BO30" s="188"/>
      <c r="BP30" s="188"/>
    </row>
    <row r="31" spans="2:68" x14ac:dyDescent="0.15">
      <c r="B31" s="141">
        <v>19521</v>
      </c>
      <c r="C31" s="141" t="s">
        <v>444</v>
      </c>
      <c r="D31" s="141" t="s">
        <v>403</v>
      </c>
      <c r="E31" s="141" t="s">
        <v>434</v>
      </c>
      <c r="F31" s="141" t="s">
        <v>142</v>
      </c>
      <c r="G31" s="141" t="s">
        <v>142</v>
      </c>
      <c r="H31" s="141">
        <v>31</v>
      </c>
      <c r="I31" s="172"/>
      <c r="J31" s="141"/>
      <c r="K31" s="173"/>
      <c r="L31" s="173"/>
      <c r="M31" s="173"/>
      <c r="N31" s="173"/>
      <c r="O31" s="173"/>
      <c r="P31" s="173"/>
      <c r="Q31" s="173"/>
      <c r="R31" s="173"/>
      <c r="S31" s="173"/>
      <c r="T31" s="173"/>
      <c r="U31" s="173"/>
      <c r="V31" s="173"/>
      <c r="W31" s="173"/>
      <c r="X31" s="173"/>
      <c r="Y31" s="173"/>
      <c r="Z31" s="173"/>
      <c r="AA31" s="173"/>
      <c r="AB31" s="173"/>
      <c r="AC31" s="173"/>
      <c r="AD31" s="173"/>
      <c r="AE31" s="173"/>
      <c r="AF31" s="173"/>
      <c r="AG31" s="173"/>
      <c r="AH31" s="173"/>
      <c r="AI31" s="173"/>
      <c r="AJ31" s="173"/>
      <c r="AK31" s="173"/>
      <c r="AL31" s="141"/>
      <c r="AM31" s="188"/>
      <c r="AN31" s="188"/>
      <c r="AO31" s="188"/>
      <c r="AP31" s="188"/>
      <c r="AQ31" s="188"/>
      <c r="AR31" s="188"/>
      <c r="AS31" s="188"/>
      <c r="AT31" s="188"/>
      <c r="AU31" s="188"/>
      <c r="AV31" s="188"/>
      <c r="AW31" s="188"/>
      <c r="AX31" s="188"/>
      <c r="AY31" s="188"/>
      <c r="AZ31" s="188"/>
      <c r="BA31" s="188"/>
      <c r="BB31" s="188"/>
      <c r="BC31" s="188"/>
      <c r="BD31" s="188"/>
      <c r="BE31" s="188"/>
      <c r="BF31" s="188"/>
      <c r="BG31" s="188"/>
      <c r="BH31" s="188"/>
      <c r="BI31" s="188"/>
      <c r="BJ31" s="188"/>
      <c r="BK31" s="188"/>
      <c r="BL31" s="188"/>
      <c r="BM31" s="188"/>
      <c r="BN31" s="188"/>
      <c r="BO31" s="188"/>
      <c r="BP31" s="188"/>
    </row>
    <row r="32" spans="2:68" x14ac:dyDescent="0.15">
      <c r="B32" s="170">
        <v>70808</v>
      </c>
      <c r="C32" s="170" t="s">
        <v>445</v>
      </c>
      <c r="D32" s="170" t="s">
        <v>403</v>
      </c>
      <c r="E32" s="170" t="s">
        <v>434</v>
      </c>
      <c r="F32" s="170" t="s">
        <v>446</v>
      </c>
      <c r="G32" s="170" t="s">
        <v>446</v>
      </c>
      <c r="H32" s="170">
        <v>12</v>
      </c>
      <c r="I32" s="169"/>
      <c r="J32" s="170"/>
      <c r="K32" s="171"/>
      <c r="L32" s="171"/>
      <c r="M32" s="171"/>
      <c r="N32" s="171"/>
      <c r="O32" s="171"/>
      <c r="P32" s="171"/>
      <c r="Q32" s="171"/>
      <c r="R32" s="171"/>
      <c r="S32" s="171"/>
      <c r="T32" s="171"/>
      <c r="U32" s="171"/>
      <c r="V32" s="171"/>
      <c r="W32" s="171"/>
      <c r="X32" s="171"/>
      <c r="Y32" s="171"/>
      <c r="Z32" s="171"/>
      <c r="AA32" s="171"/>
      <c r="AB32" s="171"/>
      <c r="AC32" s="171"/>
      <c r="AD32" s="171"/>
      <c r="AE32" s="171"/>
      <c r="AF32" s="171"/>
      <c r="AG32" s="171"/>
      <c r="AH32" s="171"/>
      <c r="AI32" s="171"/>
      <c r="AJ32" s="171"/>
      <c r="AK32" s="171"/>
      <c r="AL32" s="141"/>
      <c r="AM32" s="188"/>
      <c r="AN32" s="188"/>
      <c r="AO32" s="188"/>
      <c r="AP32" s="188"/>
      <c r="AQ32" s="188"/>
      <c r="AR32" s="188"/>
      <c r="AS32" s="188"/>
      <c r="AT32" s="188"/>
      <c r="AU32" s="188"/>
      <c r="AV32" s="188"/>
      <c r="AW32" s="188"/>
      <c r="AX32" s="188"/>
      <c r="AY32" s="188"/>
      <c r="AZ32" s="188"/>
      <c r="BA32" s="188"/>
      <c r="BB32" s="188"/>
      <c r="BC32" s="188"/>
      <c r="BD32" s="188"/>
      <c r="BE32" s="188"/>
      <c r="BF32" s="188"/>
      <c r="BG32" s="188"/>
      <c r="BH32" s="188"/>
      <c r="BI32" s="188"/>
      <c r="BJ32" s="188"/>
      <c r="BK32" s="188"/>
      <c r="BL32" s="188"/>
      <c r="BM32" s="188"/>
      <c r="BN32" s="188"/>
      <c r="BO32" s="188"/>
      <c r="BP32" s="188"/>
    </row>
    <row r="33" spans="2:68" x14ac:dyDescent="0.15">
      <c r="B33" s="141">
        <v>11488</v>
      </c>
      <c r="C33" s="141" t="s">
        <v>447</v>
      </c>
      <c r="D33" s="141" t="s">
        <v>403</v>
      </c>
      <c r="E33" s="141" t="s">
        <v>434</v>
      </c>
      <c r="F33" s="141" t="s">
        <v>448</v>
      </c>
      <c r="G33" s="141" t="s">
        <v>287</v>
      </c>
      <c r="H33" s="141">
        <v>93</v>
      </c>
      <c r="I33" s="172"/>
      <c r="J33" s="141" t="s">
        <v>83</v>
      </c>
      <c r="K33" s="173" t="s">
        <v>83</v>
      </c>
      <c r="L33" s="173" t="s">
        <v>83</v>
      </c>
      <c r="M33" s="173" t="s">
        <v>83</v>
      </c>
      <c r="N33" s="173" t="s">
        <v>83</v>
      </c>
      <c r="O33" s="173" t="s">
        <v>83</v>
      </c>
      <c r="P33" s="173" t="s">
        <v>83</v>
      </c>
      <c r="Q33" s="173" t="s">
        <v>83</v>
      </c>
      <c r="R33" s="173" t="s">
        <v>83</v>
      </c>
      <c r="S33" s="173" t="s">
        <v>83</v>
      </c>
      <c r="T33" s="173" t="s">
        <v>83</v>
      </c>
      <c r="U33" s="173" t="s">
        <v>83</v>
      </c>
      <c r="V33" s="173" t="s">
        <v>83</v>
      </c>
      <c r="W33" s="173" t="s">
        <v>83</v>
      </c>
      <c r="X33" s="173" t="s">
        <v>83</v>
      </c>
      <c r="Y33" s="173" t="s">
        <v>83</v>
      </c>
      <c r="Z33" s="173" t="s">
        <v>83</v>
      </c>
      <c r="AA33" s="173" t="s">
        <v>83</v>
      </c>
      <c r="AB33" s="173" t="s">
        <v>83</v>
      </c>
      <c r="AC33" s="173" t="s">
        <v>83</v>
      </c>
      <c r="AD33" s="173" t="s">
        <v>83</v>
      </c>
      <c r="AE33" s="173" t="s">
        <v>83</v>
      </c>
      <c r="AF33" s="173" t="s">
        <v>83</v>
      </c>
      <c r="AG33" s="173" t="s">
        <v>83</v>
      </c>
      <c r="AH33" s="173" t="s">
        <v>83</v>
      </c>
      <c r="AI33" s="173" t="s">
        <v>83</v>
      </c>
      <c r="AJ33" s="173" t="s">
        <v>83</v>
      </c>
      <c r="AK33" s="173" t="s">
        <v>83</v>
      </c>
      <c r="AL33" s="141"/>
      <c r="AM33" s="188"/>
      <c r="AN33" s="188"/>
      <c r="AO33" s="188"/>
      <c r="AP33" s="188"/>
      <c r="AQ33" s="188"/>
      <c r="AR33" s="188"/>
      <c r="AS33" s="188"/>
      <c r="AT33" s="188"/>
      <c r="AU33" s="188"/>
      <c r="AV33" s="188"/>
      <c r="AW33" s="188"/>
      <c r="AX33" s="188"/>
      <c r="AY33" s="188"/>
      <c r="AZ33" s="188"/>
      <c r="BA33" s="188"/>
      <c r="BB33" s="188"/>
      <c r="BC33" s="188"/>
      <c r="BD33" s="188"/>
      <c r="BE33" s="188"/>
      <c r="BF33" s="188"/>
      <c r="BG33" s="188"/>
      <c r="BH33" s="188"/>
      <c r="BI33" s="188"/>
      <c r="BJ33" s="188"/>
      <c r="BK33" s="188"/>
      <c r="BL33" s="188"/>
      <c r="BM33" s="188"/>
      <c r="BN33" s="188"/>
      <c r="BO33" s="188"/>
      <c r="BP33" s="188"/>
    </row>
    <row r="34" spans="2:68" x14ac:dyDescent="0.15">
      <c r="B34" s="170">
        <v>11481</v>
      </c>
      <c r="C34" s="170" t="s">
        <v>449</v>
      </c>
      <c r="D34" s="170" t="s">
        <v>403</v>
      </c>
      <c r="E34" s="170" t="s">
        <v>434</v>
      </c>
      <c r="F34" s="170" t="s">
        <v>194</v>
      </c>
      <c r="G34" s="170" t="s">
        <v>194</v>
      </c>
      <c r="H34" s="170">
        <v>35</v>
      </c>
      <c r="I34" s="169" t="s">
        <v>87</v>
      </c>
      <c r="J34" s="170"/>
      <c r="K34" s="171"/>
      <c r="L34" s="171"/>
      <c r="M34" s="171"/>
      <c r="N34" s="171"/>
      <c r="O34" s="171"/>
      <c r="P34" s="171"/>
      <c r="Q34" s="171"/>
      <c r="R34" s="171"/>
      <c r="S34" s="171"/>
      <c r="T34" s="171"/>
      <c r="U34" s="171"/>
      <c r="V34" s="171"/>
      <c r="W34" s="171"/>
      <c r="X34" s="171"/>
      <c r="Y34" s="171"/>
      <c r="Z34" s="171"/>
      <c r="AA34" s="171"/>
      <c r="AB34" s="171"/>
      <c r="AC34" s="171"/>
      <c r="AD34" s="171"/>
      <c r="AE34" s="171"/>
      <c r="AF34" s="171"/>
      <c r="AG34" s="171"/>
      <c r="AH34" s="171"/>
      <c r="AI34" s="171"/>
      <c r="AJ34" s="171"/>
      <c r="AK34" s="171"/>
      <c r="AL34" s="141"/>
      <c r="AM34" s="188"/>
      <c r="AN34" s="188"/>
      <c r="AO34" s="188"/>
      <c r="AP34" s="188"/>
      <c r="AQ34" s="188"/>
      <c r="AR34" s="188"/>
      <c r="AS34" s="188"/>
      <c r="AT34" s="188"/>
      <c r="AU34" s="188"/>
      <c r="AV34" s="188"/>
      <c r="AW34" s="188"/>
      <c r="AX34" s="188"/>
      <c r="AY34" s="188"/>
      <c r="AZ34" s="188"/>
      <c r="BA34" s="188"/>
      <c r="BB34" s="188"/>
      <c r="BC34" s="188"/>
      <c r="BD34" s="188"/>
      <c r="BE34" s="188"/>
      <c r="BF34" s="188"/>
      <c r="BG34" s="188"/>
      <c r="BH34" s="188"/>
      <c r="BI34" s="188"/>
      <c r="BJ34" s="188"/>
      <c r="BK34" s="188"/>
      <c r="BL34" s="188"/>
      <c r="BM34" s="188"/>
      <c r="BN34" s="188"/>
      <c r="BO34" s="188"/>
      <c r="BP34" s="188"/>
    </row>
    <row r="35" spans="2:68" x14ac:dyDescent="0.15">
      <c r="B35" s="141">
        <v>41762</v>
      </c>
      <c r="C35" s="141" t="s">
        <v>450</v>
      </c>
      <c r="D35" s="141" t="s">
        <v>403</v>
      </c>
      <c r="E35" s="141" t="s">
        <v>434</v>
      </c>
      <c r="F35" s="141" t="s">
        <v>100</v>
      </c>
      <c r="G35" s="141" t="s">
        <v>100</v>
      </c>
      <c r="H35" s="141">
        <v>20</v>
      </c>
      <c r="I35" s="172"/>
      <c r="J35" s="141"/>
      <c r="K35" s="173"/>
      <c r="L35" s="173"/>
      <c r="M35" s="173"/>
      <c r="N35" s="173"/>
      <c r="O35" s="173"/>
      <c r="P35" s="173"/>
      <c r="Q35" s="173"/>
      <c r="R35" s="173"/>
      <c r="S35" s="173"/>
      <c r="T35" s="173"/>
      <c r="U35" s="173"/>
      <c r="V35" s="173"/>
      <c r="W35" s="173"/>
      <c r="X35" s="173"/>
      <c r="Y35" s="173"/>
      <c r="Z35" s="173"/>
      <c r="AA35" s="173"/>
      <c r="AB35" s="173"/>
      <c r="AC35" s="173"/>
      <c r="AD35" s="173"/>
      <c r="AE35" s="173"/>
      <c r="AF35" s="173"/>
      <c r="AG35" s="173"/>
      <c r="AH35" s="173"/>
      <c r="AI35" s="173"/>
      <c r="AJ35" s="173"/>
      <c r="AK35" s="173"/>
      <c r="AL35" s="141"/>
      <c r="AM35" s="188"/>
      <c r="AN35" s="188"/>
      <c r="AO35" s="188"/>
      <c r="AP35" s="188"/>
      <c r="AQ35" s="188"/>
      <c r="AR35" s="188"/>
      <c r="AS35" s="188"/>
      <c r="AT35" s="188"/>
      <c r="AU35" s="188"/>
      <c r="AV35" s="188"/>
      <c r="AW35" s="188"/>
      <c r="AX35" s="188"/>
      <c r="AY35" s="188"/>
      <c r="AZ35" s="188"/>
      <c r="BA35" s="188"/>
      <c r="BB35" s="188"/>
      <c r="BC35" s="188"/>
      <c r="BD35" s="188"/>
      <c r="BE35" s="188"/>
      <c r="BF35" s="188"/>
      <c r="BG35" s="188"/>
      <c r="BH35" s="188"/>
      <c r="BI35" s="188"/>
      <c r="BJ35" s="188"/>
      <c r="BK35" s="188"/>
      <c r="BL35" s="188"/>
      <c r="BM35" s="188"/>
      <c r="BN35" s="188"/>
      <c r="BO35" s="188"/>
      <c r="BP35" s="188"/>
    </row>
    <row r="36" spans="2:68" x14ac:dyDescent="0.15">
      <c r="B36" s="170">
        <v>41478</v>
      </c>
      <c r="C36" s="170" t="s">
        <v>451</v>
      </c>
      <c r="D36" s="170" t="s">
        <v>403</v>
      </c>
      <c r="E36" s="170" t="s">
        <v>434</v>
      </c>
      <c r="F36" s="170" t="s">
        <v>151</v>
      </c>
      <c r="G36" s="170" t="s">
        <v>151</v>
      </c>
      <c r="H36" s="170">
        <v>16</v>
      </c>
      <c r="I36" s="169"/>
      <c r="J36" s="170"/>
      <c r="K36" s="171"/>
      <c r="L36" s="171"/>
      <c r="M36" s="171"/>
      <c r="N36" s="171"/>
      <c r="O36" s="171"/>
      <c r="P36" s="171"/>
      <c r="Q36" s="171"/>
      <c r="R36" s="171"/>
      <c r="S36" s="171"/>
      <c r="T36" s="171"/>
      <c r="U36" s="171"/>
      <c r="V36" s="171"/>
      <c r="W36" s="171"/>
      <c r="X36" s="171"/>
      <c r="Y36" s="171"/>
      <c r="Z36" s="171"/>
      <c r="AA36" s="171"/>
      <c r="AB36" s="171"/>
      <c r="AC36" s="171"/>
      <c r="AD36" s="171"/>
      <c r="AE36" s="171"/>
      <c r="AF36" s="171"/>
      <c r="AG36" s="171"/>
      <c r="AH36" s="171"/>
      <c r="AI36" s="171"/>
      <c r="AJ36" s="171"/>
      <c r="AK36" s="171"/>
      <c r="AL36" s="141"/>
      <c r="AM36" s="188"/>
      <c r="AN36" s="188"/>
      <c r="AO36" s="188"/>
      <c r="AP36" s="188"/>
      <c r="AQ36" s="188"/>
      <c r="AR36" s="188"/>
      <c r="AS36" s="188"/>
      <c r="AT36" s="188"/>
      <c r="AU36" s="188"/>
      <c r="AV36" s="188"/>
      <c r="AW36" s="188"/>
      <c r="AX36" s="188"/>
      <c r="AY36" s="188"/>
      <c r="AZ36" s="188"/>
      <c r="BA36" s="188"/>
      <c r="BB36" s="188"/>
      <c r="BC36" s="188"/>
      <c r="BD36" s="188"/>
      <c r="BE36" s="188"/>
      <c r="BF36" s="188"/>
      <c r="BG36" s="188"/>
      <c r="BH36" s="188"/>
      <c r="BI36" s="188"/>
      <c r="BJ36" s="188"/>
      <c r="BK36" s="188"/>
      <c r="BL36" s="188"/>
      <c r="BM36" s="188"/>
      <c r="BN36" s="188"/>
      <c r="BO36" s="188"/>
      <c r="BP36" s="188"/>
    </row>
    <row r="37" spans="2:68" x14ac:dyDescent="0.15">
      <c r="B37" s="141">
        <v>18175</v>
      </c>
      <c r="C37" s="141" t="s">
        <v>452</v>
      </c>
      <c r="D37" s="141" t="s">
        <v>453</v>
      </c>
      <c r="E37" s="141" t="s">
        <v>454</v>
      </c>
      <c r="F37" s="141" t="s">
        <v>455</v>
      </c>
      <c r="G37" s="141" t="s">
        <v>378</v>
      </c>
      <c r="H37" s="141">
        <v>46</v>
      </c>
      <c r="I37" s="172"/>
      <c r="J37" s="141"/>
      <c r="K37" s="173"/>
      <c r="L37" s="173"/>
      <c r="M37" s="173"/>
      <c r="N37" s="173"/>
      <c r="O37" s="173"/>
      <c r="P37" s="173"/>
      <c r="Q37" s="173"/>
      <c r="R37" s="173"/>
      <c r="S37" s="173"/>
      <c r="T37" s="173"/>
      <c r="U37" s="173"/>
      <c r="V37" s="173"/>
      <c r="W37" s="173"/>
      <c r="X37" s="173"/>
      <c r="Y37" s="173"/>
      <c r="Z37" s="173"/>
      <c r="AA37" s="173"/>
      <c r="AB37" s="173"/>
      <c r="AC37" s="173"/>
      <c r="AD37" s="173"/>
      <c r="AE37" s="173"/>
      <c r="AF37" s="173"/>
      <c r="AG37" s="173"/>
      <c r="AH37" s="173"/>
      <c r="AI37" s="173"/>
      <c r="AJ37" s="173"/>
      <c r="AK37" s="173"/>
      <c r="AL37" s="141"/>
      <c r="AM37" s="188"/>
      <c r="AN37" s="188"/>
      <c r="AO37" s="188"/>
      <c r="AP37" s="188"/>
      <c r="AQ37" s="188"/>
      <c r="AR37" s="188"/>
      <c r="AS37" s="188"/>
      <c r="AT37" s="188"/>
      <c r="AU37" s="188"/>
      <c r="AV37" s="188"/>
      <c r="AW37" s="188"/>
      <c r="AX37" s="188"/>
      <c r="AY37" s="188"/>
      <c r="AZ37" s="188"/>
      <c r="BA37" s="188"/>
      <c r="BB37" s="188"/>
      <c r="BC37" s="188"/>
      <c r="BD37" s="188"/>
      <c r="BE37" s="188"/>
      <c r="BF37" s="188"/>
      <c r="BG37" s="188"/>
      <c r="BH37" s="188"/>
      <c r="BI37" s="188"/>
      <c r="BJ37" s="188"/>
      <c r="BK37" s="188"/>
      <c r="BL37" s="188"/>
      <c r="BM37" s="188"/>
      <c r="BN37" s="188"/>
      <c r="BO37" s="188"/>
      <c r="BP37" s="188"/>
    </row>
    <row r="38" spans="2:68" x14ac:dyDescent="0.15">
      <c r="B38" s="170">
        <v>17508</v>
      </c>
      <c r="C38" s="170" t="s">
        <v>456</v>
      </c>
      <c r="D38" s="170" t="s">
        <v>453</v>
      </c>
      <c r="E38" s="170" t="s">
        <v>454</v>
      </c>
      <c r="F38" s="170" t="s">
        <v>457</v>
      </c>
      <c r="G38" s="170" t="s">
        <v>240</v>
      </c>
      <c r="H38" s="170">
        <v>55</v>
      </c>
      <c r="I38" s="169"/>
      <c r="J38" s="170"/>
      <c r="K38" s="171"/>
      <c r="L38" s="171"/>
      <c r="M38" s="171"/>
      <c r="N38" s="171"/>
      <c r="O38" s="171"/>
      <c r="P38" s="171"/>
      <c r="Q38" s="171"/>
      <c r="R38" s="171"/>
      <c r="S38" s="171"/>
      <c r="T38" s="171"/>
      <c r="U38" s="171"/>
      <c r="V38" s="171"/>
      <c r="W38" s="171"/>
      <c r="X38" s="171"/>
      <c r="Y38" s="171"/>
      <c r="Z38" s="171"/>
      <c r="AA38" s="171"/>
      <c r="AB38" s="171"/>
      <c r="AC38" s="171"/>
      <c r="AD38" s="171"/>
      <c r="AE38" s="171"/>
      <c r="AF38" s="171"/>
      <c r="AG38" s="171"/>
      <c r="AH38" s="171"/>
      <c r="AI38" s="171"/>
      <c r="AJ38" s="171"/>
      <c r="AK38" s="171"/>
      <c r="AL38" s="141"/>
      <c r="AM38" s="188"/>
      <c r="AN38" s="188"/>
      <c r="AO38" s="188"/>
      <c r="AP38" s="188"/>
      <c r="AQ38" s="188"/>
      <c r="AR38" s="188"/>
      <c r="AS38" s="188"/>
      <c r="AT38" s="188"/>
      <c r="AU38" s="188"/>
      <c r="AV38" s="188"/>
      <c r="AW38" s="188"/>
      <c r="AX38" s="188"/>
      <c r="AY38" s="188"/>
      <c r="AZ38" s="188"/>
      <c r="BA38" s="188"/>
      <c r="BB38" s="188"/>
      <c r="BC38" s="188"/>
      <c r="BD38" s="188"/>
      <c r="BE38" s="188"/>
      <c r="BF38" s="188"/>
      <c r="BG38" s="188"/>
      <c r="BH38" s="188"/>
      <c r="BI38" s="188"/>
      <c r="BJ38" s="188"/>
      <c r="BK38" s="188"/>
      <c r="BL38" s="188"/>
      <c r="BM38" s="188"/>
      <c r="BN38" s="188"/>
      <c r="BO38" s="188"/>
      <c r="BP38" s="188"/>
    </row>
    <row r="39" spans="2:68" x14ac:dyDescent="0.15">
      <c r="B39" s="141">
        <v>2028</v>
      </c>
      <c r="C39" s="141" t="s">
        <v>458</v>
      </c>
      <c r="D39" s="141" t="s">
        <v>453</v>
      </c>
      <c r="E39" s="141" t="s">
        <v>454</v>
      </c>
      <c r="F39" s="141" t="s">
        <v>459</v>
      </c>
      <c r="G39" s="141" t="s">
        <v>438</v>
      </c>
      <c r="H39" s="141">
        <v>32</v>
      </c>
      <c r="I39" s="172"/>
      <c r="J39" s="141"/>
      <c r="K39" s="173"/>
      <c r="L39" s="173"/>
      <c r="M39" s="173"/>
      <c r="N39" s="173"/>
      <c r="O39" s="173"/>
      <c r="P39" s="173"/>
      <c r="Q39" s="173"/>
      <c r="R39" s="173"/>
      <c r="S39" s="173"/>
      <c r="T39" s="173"/>
      <c r="U39" s="173"/>
      <c r="V39" s="173"/>
      <c r="W39" s="173"/>
      <c r="X39" s="173"/>
      <c r="Y39" s="173"/>
      <c r="Z39" s="173"/>
      <c r="AA39" s="173"/>
      <c r="AB39" s="173"/>
      <c r="AC39" s="173"/>
      <c r="AD39" s="173"/>
      <c r="AE39" s="173"/>
      <c r="AF39" s="173"/>
      <c r="AG39" s="173"/>
      <c r="AH39" s="173"/>
      <c r="AI39" s="173"/>
      <c r="AJ39" s="173"/>
      <c r="AK39" s="173"/>
      <c r="AL39" s="141"/>
      <c r="AM39" s="188"/>
      <c r="AN39" s="188"/>
      <c r="AO39" s="188"/>
      <c r="AP39" s="188"/>
      <c r="AQ39" s="188"/>
      <c r="AR39" s="188"/>
      <c r="AS39" s="188"/>
      <c r="AT39" s="188"/>
      <c r="AU39" s="188"/>
      <c r="AV39" s="188"/>
      <c r="AW39" s="188"/>
      <c r="AX39" s="188"/>
      <c r="AY39" s="188"/>
      <c r="AZ39" s="188"/>
      <c r="BA39" s="188"/>
      <c r="BB39" s="188"/>
      <c r="BC39" s="188"/>
      <c r="BD39" s="188"/>
      <c r="BE39" s="188"/>
      <c r="BF39" s="188"/>
      <c r="BG39" s="188"/>
      <c r="BH39" s="188"/>
      <c r="BI39" s="188"/>
      <c r="BJ39" s="188"/>
      <c r="BK39" s="188"/>
      <c r="BL39" s="188"/>
      <c r="BM39" s="188"/>
      <c r="BN39" s="188"/>
      <c r="BO39" s="188"/>
      <c r="BP39" s="188"/>
    </row>
    <row r="40" spans="2:68" x14ac:dyDescent="0.15">
      <c r="B40" s="170">
        <v>46570</v>
      </c>
      <c r="C40" s="170" t="s">
        <v>460</v>
      </c>
      <c r="D40" s="170" t="s">
        <v>453</v>
      </c>
      <c r="E40" s="170" t="s">
        <v>454</v>
      </c>
      <c r="F40" s="170" t="s">
        <v>461</v>
      </c>
      <c r="G40" s="170" t="s">
        <v>461</v>
      </c>
      <c r="H40" s="170">
        <v>21</v>
      </c>
      <c r="I40" s="169"/>
      <c r="J40" s="170"/>
      <c r="K40" s="171"/>
      <c r="L40" s="171"/>
      <c r="M40" s="171"/>
      <c r="N40" s="171"/>
      <c r="O40" s="171"/>
      <c r="P40" s="171"/>
      <c r="Q40" s="171"/>
      <c r="R40" s="171"/>
      <c r="S40" s="171"/>
      <c r="T40" s="171"/>
      <c r="U40" s="171"/>
      <c r="V40" s="171"/>
      <c r="W40" s="171"/>
      <c r="X40" s="171"/>
      <c r="Y40" s="171"/>
      <c r="Z40" s="171"/>
      <c r="AA40" s="171"/>
      <c r="AB40" s="171"/>
      <c r="AC40" s="171"/>
      <c r="AD40" s="171"/>
      <c r="AE40" s="171"/>
      <c r="AF40" s="171"/>
      <c r="AG40" s="171"/>
      <c r="AH40" s="171"/>
      <c r="AI40" s="171"/>
      <c r="AJ40" s="171"/>
      <c r="AK40" s="171"/>
      <c r="AL40" s="141"/>
      <c r="AM40" s="188"/>
      <c r="AN40" s="188"/>
      <c r="AO40" s="188"/>
      <c r="AP40" s="188"/>
      <c r="AQ40" s="188"/>
      <c r="AR40" s="188"/>
      <c r="AS40" s="188"/>
      <c r="AT40" s="188"/>
      <c r="AU40" s="188"/>
      <c r="AV40" s="188"/>
      <c r="AW40" s="188"/>
      <c r="AX40" s="188"/>
      <c r="AY40" s="188"/>
      <c r="AZ40" s="188"/>
      <c r="BA40" s="188"/>
      <c r="BB40" s="188"/>
      <c r="BC40" s="188"/>
      <c r="BD40" s="188"/>
      <c r="BE40" s="188"/>
      <c r="BF40" s="188"/>
      <c r="BG40" s="188"/>
      <c r="BH40" s="188"/>
      <c r="BI40" s="188"/>
      <c r="BJ40" s="188"/>
      <c r="BK40" s="188"/>
      <c r="BL40" s="188"/>
      <c r="BM40" s="188"/>
      <c r="BN40" s="188"/>
      <c r="BO40" s="188"/>
      <c r="BP40" s="188"/>
    </row>
    <row r="41" spans="2:68" x14ac:dyDescent="0.15">
      <c r="B41" s="141">
        <v>2023</v>
      </c>
      <c r="C41" s="141" t="s">
        <v>462</v>
      </c>
      <c r="D41" s="141" t="s">
        <v>453</v>
      </c>
      <c r="E41" s="141" t="s">
        <v>454</v>
      </c>
      <c r="F41" s="141" t="s">
        <v>232</v>
      </c>
      <c r="G41" s="141" t="s">
        <v>232</v>
      </c>
      <c r="H41" s="141">
        <v>43</v>
      </c>
      <c r="I41" s="172"/>
      <c r="J41" s="141" t="s">
        <v>83</v>
      </c>
      <c r="K41" s="173" t="s">
        <v>83</v>
      </c>
      <c r="L41" s="173" t="s">
        <v>83</v>
      </c>
      <c r="M41" s="173" t="s">
        <v>83</v>
      </c>
      <c r="N41" s="173" t="s">
        <v>83</v>
      </c>
      <c r="O41" s="173" t="s">
        <v>83</v>
      </c>
      <c r="P41" s="173" t="s">
        <v>83</v>
      </c>
      <c r="Q41" s="173" t="s">
        <v>83</v>
      </c>
      <c r="R41" s="173" t="s">
        <v>83</v>
      </c>
      <c r="S41" s="173" t="s">
        <v>83</v>
      </c>
      <c r="T41" s="173" t="s">
        <v>83</v>
      </c>
      <c r="U41" s="173" t="s">
        <v>83</v>
      </c>
      <c r="V41" s="173" t="s">
        <v>83</v>
      </c>
      <c r="W41" s="173" t="s">
        <v>83</v>
      </c>
      <c r="X41" s="173" t="s">
        <v>83</v>
      </c>
      <c r="Y41" s="173" t="s">
        <v>83</v>
      </c>
      <c r="Z41" s="173" t="s">
        <v>83</v>
      </c>
      <c r="AA41" s="173" t="s">
        <v>83</v>
      </c>
      <c r="AB41" s="173" t="s">
        <v>83</v>
      </c>
      <c r="AC41" s="173" t="s">
        <v>83</v>
      </c>
      <c r="AD41" s="173" t="s">
        <v>83</v>
      </c>
      <c r="AE41" s="173" t="s">
        <v>83</v>
      </c>
      <c r="AF41" s="173" t="s">
        <v>83</v>
      </c>
      <c r="AG41" s="173" t="s">
        <v>83</v>
      </c>
      <c r="AH41" s="173" t="s">
        <v>83</v>
      </c>
      <c r="AI41" s="173" t="s">
        <v>83</v>
      </c>
      <c r="AJ41" s="173" t="s">
        <v>83</v>
      </c>
      <c r="AK41" s="173" t="s">
        <v>83</v>
      </c>
      <c r="AL41" s="141"/>
      <c r="AM41" s="188"/>
      <c r="AN41" s="188"/>
      <c r="AO41" s="188"/>
      <c r="AP41" s="188"/>
      <c r="AQ41" s="188"/>
      <c r="AR41" s="188"/>
      <c r="AS41" s="188"/>
      <c r="AT41" s="188"/>
      <c r="AU41" s="188"/>
      <c r="AV41" s="188"/>
      <c r="AW41" s="188"/>
      <c r="AX41" s="188"/>
      <c r="AY41" s="188"/>
      <c r="AZ41" s="188"/>
      <c r="BA41" s="188"/>
      <c r="BB41" s="188"/>
      <c r="BC41" s="188"/>
      <c r="BD41" s="188"/>
      <c r="BE41" s="188"/>
      <c r="BF41" s="188"/>
      <c r="BG41" s="188"/>
      <c r="BH41" s="188"/>
      <c r="BI41" s="188"/>
      <c r="BJ41" s="188"/>
      <c r="BK41" s="188"/>
      <c r="BL41" s="188"/>
      <c r="BM41" s="188"/>
      <c r="BN41" s="188"/>
      <c r="BO41" s="188"/>
      <c r="BP41" s="188"/>
    </row>
    <row r="42" spans="2:68" x14ac:dyDescent="0.15">
      <c r="B42" s="170">
        <v>2025</v>
      </c>
      <c r="C42" s="170" t="s">
        <v>463</v>
      </c>
      <c r="D42" s="170" t="s">
        <v>453</v>
      </c>
      <c r="E42" s="170" t="s">
        <v>454</v>
      </c>
      <c r="F42" s="170" t="s">
        <v>246</v>
      </c>
      <c r="G42" s="170" t="s">
        <v>246</v>
      </c>
      <c r="H42" s="170">
        <v>53</v>
      </c>
      <c r="I42" s="169"/>
      <c r="J42" s="170" t="s">
        <v>83</v>
      </c>
      <c r="K42" s="171" t="s">
        <v>83</v>
      </c>
      <c r="L42" s="171" t="s">
        <v>83</v>
      </c>
      <c r="M42" s="171" t="s">
        <v>83</v>
      </c>
      <c r="N42" s="171" t="s">
        <v>83</v>
      </c>
      <c r="O42" s="171" t="s">
        <v>83</v>
      </c>
      <c r="P42" s="171" t="s">
        <v>83</v>
      </c>
      <c r="Q42" s="171" t="s">
        <v>83</v>
      </c>
      <c r="R42" s="171" t="s">
        <v>83</v>
      </c>
      <c r="S42" s="171" t="s">
        <v>83</v>
      </c>
      <c r="T42" s="171" t="s">
        <v>83</v>
      </c>
      <c r="U42" s="171" t="s">
        <v>83</v>
      </c>
      <c r="V42" s="171" t="s">
        <v>83</v>
      </c>
      <c r="W42" s="171" t="s">
        <v>83</v>
      </c>
      <c r="X42" s="171" t="s">
        <v>83</v>
      </c>
      <c r="Y42" s="171" t="s">
        <v>83</v>
      </c>
      <c r="Z42" s="171" t="s">
        <v>83</v>
      </c>
      <c r="AA42" s="171" t="s">
        <v>83</v>
      </c>
      <c r="AB42" s="171" t="s">
        <v>83</v>
      </c>
      <c r="AC42" s="171" t="s">
        <v>83</v>
      </c>
      <c r="AD42" s="171" t="s">
        <v>83</v>
      </c>
      <c r="AE42" s="171" t="s">
        <v>83</v>
      </c>
      <c r="AF42" s="171" t="s">
        <v>83</v>
      </c>
      <c r="AG42" s="171" t="s">
        <v>83</v>
      </c>
      <c r="AH42" s="171" t="s">
        <v>83</v>
      </c>
      <c r="AI42" s="171" t="s">
        <v>83</v>
      </c>
      <c r="AJ42" s="171" t="s">
        <v>83</v>
      </c>
      <c r="AK42" s="171" t="s">
        <v>83</v>
      </c>
      <c r="AL42" s="141"/>
      <c r="AM42" s="188"/>
      <c r="AN42" s="188"/>
      <c r="AO42" s="188"/>
      <c r="AP42" s="188"/>
      <c r="AQ42" s="188"/>
      <c r="AR42" s="188"/>
      <c r="AS42" s="188"/>
      <c r="AT42" s="188"/>
      <c r="AU42" s="188"/>
      <c r="AV42" s="188"/>
      <c r="AW42" s="188"/>
      <c r="AX42" s="188"/>
      <c r="AY42" s="188"/>
      <c r="AZ42" s="188"/>
      <c r="BA42" s="188"/>
      <c r="BB42" s="188"/>
      <c r="BC42" s="188"/>
      <c r="BD42" s="188"/>
      <c r="BE42" s="188"/>
      <c r="BF42" s="188"/>
      <c r="BG42" s="188"/>
      <c r="BH42" s="188"/>
      <c r="BI42" s="188"/>
      <c r="BJ42" s="188"/>
      <c r="BK42" s="188"/>
      <c r="BL42" s="188"/>
      <c r="BM42" s="188"/>
      <c r="BN42" s="188"/>
      <c r="BO42" s="188"/>
      <c r="BP42" s="188"/>
    </row>
    <row r="43" spans="2:68" x14ac:dyDescent="0.15">
      <c r="B43" s="141">
        <v>2024</v>
      </c>
      <c r="C43" s="141" t="s">
        <v>464</v>
      </c>
      <c r="D43" s="141" t="s">
        <v>453</v>
      </c>
      <c r="E43" s="141" t="s">
        <v>454</v>
      </c>
      <c r="F43" s="141" t="s">
        <v>395</v>
      </c>
      <c r="G43" s="141" t="s">
        <v>110</v>
      </c>
      <c r="H43" s="141">
        <v>80</v>
      </c>
      <c r="I43" s="172"/>
      <c r="J43" s="141" t="s">
        <v>83</v>
      </c>
      <c r="K43" s="173" t="s">
        <v>83</v>
      </c>
      <c r="L43" s="173" t="s">
        <v>83</v>
      </c>
      <c r="M43" s="173" t="s">
        <v>83</v>
      </c>
      <c r="N43" s="173" t="s">
        <v>83</v>
      </c>
      <c r="O43" s="173" t="s">
        <v>83</v>
      </c>
      <c r="P43" s="173" t="s">
        <v>83</v>
      </c>
      <c r="Q43" s="173" t="s">
        <v>83</v>
      </c>
      <c r="R43" s="173" t="s">
        <v>83</v>
      </c>
      <c r="S43" s="173" t="s">
        <v>83</v>
      </c>
      <c r="T43" s="173" t="s">
        <v>83</v>
      </c>
      <c r="U43" s="173" t="s">
        <v>83</v>
      </c>
      <c r="V43" s="173" t="s">
        <v>83</v>
      </c>
      <c r="W43" s="173" t="s">
        <v>83</v>
      </c>
      <c r="X43" s="173" t="s">
        <v>83</v>
      </c>
      <c r="Y43" s="173" t="s">
        <v>83</v>
      </c>
      <c r="Z43" s="173" t="s">
        <v>83</v>
      </c>
      <c r="AA43" s="173" t="s">
        <v>83</v>
      </c>
      <c r="AB43" s="173" t="s">
        <v>83</v>
      </c>
      <c r="AC43" s="173" t="s">
        <v>83</v>
      </c>
      <c r="AD43" s="173" t="s">
        <v>83</v>
      </c>
      <c r="AE43" s="173" t="s">
        <v>83</v>
      </c>
      <c r="AF43" s="173" t="s">
        <v>83</v>
      </c>
      <c r="AG43" s="173" t="s">
        <v>83</v>
      </c>
      <c r="AH43" s="173" t="s">
        <v>83</v>
      </c>
      <c r="AI43" s="173" t="s">
        <v>83</v>
      </c>
      <c r="AJ43" s="173" t="s">
        <v>83</v>
      </c>
      <c r="AK43" s="173" t="s">
        <v>83</v>
      </c>
      <c r="AL43" s="141"/>
      <c r="AM43" s="188"/>
      <c r="AN43" s="188"/>
      <c r="AO43" s="188"/>
      <c r="AP43" s="188"/>
      <c r="AQ43" s="188"/>
      <c r="AR43" s="188"/>
      <c r="AS43" s="188"/>
      <c r="AT43" s="188"/>
      <c r="AU43" s="188"/>
      <c r="AV43" s="188"/>
      <c r="AW43" s="188"/>
      <c r="AX43" s="188"/>
      <c r="AY43" s="188"/>
      <c r="AZ43" s="188"/>
      <c r="BA43" s="188"/>
      <c r="BB43" s="188"/>
      <c r="BC43" s="188"/>
      <c r="BD43" s="188"/>
      <c r="BE43" s="188"/>
      <c r="BF43" s="188"/>
      <c r="BG43" s="188"/>
      <c r="BH43" s="188"/>
      <c r="BI43" s="188"/>
      <c r="BJ43" s="188"/>
      <c r="BK43" s="188"/>
      <c r="BL43" s="188"/>
      <c r="BM43" s="188"/>
      <c r="BN43" s="188"/>
      <c r="BO43" s="188"/>
      <c r="BP43" s="188"/>
    </row>
    <row r="44" spans="2:68" x14ac:dyDescent="0.15">
      <c r="B44" s="170">
        <v>3962</v>
      </c>
      <c r="C44" s="170" t="s">
        <v>465</v>
      </c>
      <c r="D44" s="170" t="s">
        <v>453</v>
      </c>
      <c r="E44" s="170" t="s">
        <v>454</v>
      </c>
      <c r="F44" s="170" t="s">
        <v>466</v>
      </c>
      <c r="G44" s="170" t="s">
        <v>438</v>
      </c>
      <c r="H44" s="170">
        <v>47</v>
      </c>
      <c r="I44" s="169"/>
      <c r="J44" s="170"/>
      <c r="K44" s="171"/>
      <c r="L44" s="171"/>
      <c r="M44" s="171"/>
      <c r="N44" s="171"/>
      <c r="O44" s="171"/>
      <c r="P44" s="171"/>
      <c r="Q44" s="171"/>
      <c r="R44" s="171"/>
      <c r="S44" s="171"/>
      <c r="T44" s="171"/>
      <c r="U44" s="171"/>
      <c r="V44" s="171"/>
      <c r="W44" s="171"/>
      <c r="X44" s="171"/>
      <c r="Y44" s="171"/>
      <c r="Z44" s="171"/>
      <c r="AA44" s="171"/>
      <c r="AB44" s="171"/>
      <c r="AC44" s="171"/>
      <c r="AD44" s="171"/>
      <c r="AE44" s="171"/>
      <c r="AF44" s="171"/>
      <c r="AG44" s="171"/>
      <c r="AH44" s="171"/>
      <c r="AI44" s="171"/>
      <c r="AJ44" s="171"/>
      <c r="AK44" s="171"/>
      <c r="AL44" s="141"/>
      <c r="AM44" s="188"/>
      <c r="AN44" s="188"/>
      <c r="AO44" s="188"/>
      <c r="AP44" s="188"/>
      <c r="AQ44" s="188"/>
      <c r="AR44" s="188"/>
      <c r="AS44" s="188"/>
      <c r="AT44" s="188"/>
      <c r="AU44" s="188"/>
      <c r="AV44" s="188"/>
      <c r="AW44" s="188"/>
      <c r="AX44" s="188"/>
      <c r="AY44" s="188"/>
      <c r="AZ44" s="188"/>
      <c r="BA44" s="188"/>
      <c r="BB44" s="188"/>
      <c r="BC44" s="188"/>
      <c r="BD44" s="188"/>
      <c r="BE44" s="188"/>
      <c r="BF44" s="188"/>
      <c r="BG44" s="188"/>
      <c r="BH44" s="188"/>
      <c r="BI44" s="188"/>
      <c r="BJ44" s="188"/>
      <c r="BK44" s="188"/>
      <c r="BL44" s="188"/>
      <c r="BM44" s="188"/>
      <c r="BN44" s="188"/>
      <c r="BO44" s="188"/>
      <c r="BP44" s="188"/>
    </row>
    <row r="45" spans="2:68" x14ac:dyDescent="0.15">
      <c r="B45" s="141">
        <v>71698</v>
      </c>
      <c r="C45" s="141" t="s">
        <v>467</v>
      </c>
      <c r="D45" s="141" t="s">
        <v>453</v>
      </c>
      <c r="E45" s="141" t="s">
        <v>454</v>
      </c>
      <c r="F45" s="141" t="s">
        <v>468</v>
      </c>
      <c r="G45" s="141" t="s">
        <v>468</v>
      </c>
      <c r="H45" s="141">
        <v>11</v>
      </c>
      <c r="I45" s="172"/>
      <c r="J45" s="141"/>
      <c r="K45" s="173"/>
      <c r="L45" s="173"/>
      <c r="M45" s="173"/>
      <c r="N45" s="173"/>
      <c r="O45" s="173"/>
      <c r="P45" s="173"/>
      <c r="Q45" s="173"/>
      <c r="R45" s="173"/>
      <c r="S45" s="173"/>
      <c r="T45" s="173"/>
      <c r="U45" s="173"/>
      <c r="V45" s="173"/>
      <c r="W45" s="173"/>
      <c r="X45" s="173"/>
      <c r="Y45" s="173"/>
      <c r="Z45" s="173"/>
      <c r="AA45" s="173"/>
      <c r="AB45" s="173"/>
      <c r="AC45" s="173"/>
      <c r="AD45" s="173"/>
      <c r="AE45" s="173"/>
      <c r="AF45" s="173"/>
      <c r="AG45" s="173"/>
      <c r="AH45" s="173"/>
      <c r="AI45" s="173"/>
      <c r="AJ45" s="173"/>
      <c r="AK45" s="173"/>
      <c r="AL45" s="141"/>
      <c r="AM45" s="188"/>
      <c r="AN45" s="188"/>
      <c r="AO45" s="188"/>
      <c r="AP45" s="188"/>
      <c r="AQ45" s="188"/>
      <c r="AR45" s="188"/>
      <c r="AS45" s="188"/>
      <c r="AT45" s="188"/>
      <c r="AU45" s="188"/>
      <c r="AV45" s="188"/>
      <c r="AW45" s="188"/>
      <c r="AX45" s="188"/>
      <c r="AY45" s="188"/>
      <c r="AZ45" s="188"/>
      <c r="BA45" s="188"/>
      <c r="BB45" s="188"/>
      <c r="BC45" s="188"/>
      <c r="BD45" s="188"/>
      <c r="BE45" s="188"/>
      <c r="BF45" s="188"/>
      <c r="BG45" s="188"/>
      <c r="BH45" s="188"/>
      <c r="BI45" s="188"/>
      <c r="BJ45" s="188"/>
      <c r="BK45" s="188"/>
      <c r="BL45" s="188"/>
      <c r="BM45" s="188"/>
      <c r="BN45" s="188"/>
      <c r="BO45" s="188"/>
      <c r="BP45" s="188"/>
    </row>
    <row r="46" spans="2:68" x14ac:dyDescent="0.15">
      <c r="B46" s="170">
        <v>18167</v>
      </c>
      <c r="C46" s="170" t="s">
        <v>469</v>
      </c>
      <c r="D46" s="170" t="s">
        <v>453</v>
      </c>
      <c r="E46" s="170" t="s">
        <v>454</v>
      </c>
      <c r="F46" s="170" t="s">
        <v>470</v>
      </c>
      <c r="G46" s="170" t="s">
        <v>408</v>
      </c>
      <c r="H46" s="170">
        <v>32</v>
      </c>
      <c r="I46" s="169"/>
      <c r="J46" s="170"/>
      <c r="K46" s="171"/>
      <c r="L46" s="171"/>
      <c r="M46" s="171"/>
      <c r="N46" s="171"/>
      <c r="O46" s="171"/>
      <c r="P46" s="171"/>
      <c r="Q46" s="171"/>
      <c r="R46" s="171"/>
      <c r="S46" s="171"/>
      <c r="T46" s="171"/>
      <c r="U46" s="171"/>
      <c r="V46" s="171"/>
      <c r="W46" s="171"/>
      <c r="X46" s="171"/>
      <c r="Y46" s="171"/>
      <c r="Z46" s="171"/>
      <c r="AA46" s="171"/>
      <c r="AB46" s="171"/>
      <c r="AC46" s="171"/>
      <c r="AD46" s="171"/>
      <c r="AE46" s="171"/>
      <c r="AF46" s="171"/>
      <c r="AG46" s="171"/>
      <c r="AH46" s="171"/>
      <c r="AI46" s="171"/>
      <c r="AJ46" s="171"/>
      <c r="AK46" s="171"/>
      <c r="AL46" s="141"/>
      <c r="AM46" s="188"/>
      <c r="AN46" s="188"/>
      <c r="AO46" s="188"/>
      <c r="AP46" s="188"/>
      <c r="AQ46" s="188"/>
      <c r="AR46" s="188"/>
      <c r="AS46" s="188"/>
      <c r="AT46" s="188"/>
      <c r="AU46" s="188"/>
      <c r="AV46" s="188"/>
      <c r="AW46" s="188"/>
      <c r="AX46" s="188"/>
      <c r="AY46" s="188"/>
      <c r="AZ46" s="188"/>
      <c r="BA46" s="188"/>
      <c r="BB46" s="188"/>
      <c r="BC46" s="188"/>
      <c r="BD46" s="188"/>
      <c r="BE46" s="188"/>
      <c r="BF46" s="188"/>
      <c r="BG46" s="188"/>
      <c r="BH46" s="188"/>
      <c r="BI46" s="188"/>
      <c r="BJ46" s="188"/>
      <c r="BK46" s="188"/>
      <c r="BL46" s="188"/>
      <c r="BM46" s="188"/>
      <c r="BN46" s="188"/>
      <c r="BO46" s="188"/>
      <c r="BP46" s="188"/>
    </row>
    <row r="47" spans="2:68" x14ac:dyDescent="0.15">
      <c r="B47" s="141">
        <v>11693</v>
      </c>
      <c r="C47" s="141" t="s">
        <v>471</v>
      </c>
      <c r="D47" s="141" t="s">
        <v>453</v>
      </c>
      <c r="E47" s="141" t="s">
        <v>454</v>
      </c>
      <c r="F47" s="141" t="s">
        <v>472</v>
      </c>
      <c r="G47" s="141" t="s">
        <v>168</v>
      </c>
      <c r="H47" s="141">
        <v>38</v>
      </c>
      <c r="I47" s="172"/>
      <c r="J47" s="141" t="s">
        <v>88</v>
      </c>
      <c r="K47" s="173" t="s">
        <v>88</v>
      </c>
      <c r="L47" s="173" t="s">
        <v>88</v>
      </c>
      <c r="M47" s="173" t="s">
        <v>88</v>
      </c>
      <c r="N47" s="173" t="s">
        <v>88</v>
      </c>
      <c r="O47" s="173" t="s">
        <v>88</v>
      </c>
      <c r="P47" s="173" t="s">
        <v>88</v>
      </c>
      <c r="Q47" s="173" t="s">
        <v>88</v>
      </c>
      <c r="R47" s="173" t="s">
        <v>88</v>
      </c>
      <c r="S47" s="173" t="s">
        <v>88</v>
      </c>
      <c r="T47" s="173" t="s">
        <v>88</v>
      </c>
      <c r="U47" s="173" t="s">
        <v>88</v>
      </c>
      <c r="V47" s="173" t="s">
        <v>88</v>
      </c>
      <c r="W47" s="173" t="s">
        <v>88</v>
      </c>
      <c r="X47" s="173" t="s">
        <v>88</v>
      </c>
      <c r="Y47" s="173" t="s">
        <v>88</v>
      </c>
      <c r="Z47" s="173" t="s">
        <v>88</v>
      </c>
      <c r="AA47" s="173" t="s">
        <v>88</v>
      </c>
      <c r="AB47" s="173" t="s">
        <v>88</v>
      </c>
      <c r="AC47" s="173" t="s">
        <v>88</v>
      </c>
      <c r="AD47" s="173" t="s">
        <v>88</v>
      </c>
      <c r="AE47" s="173" t="s">
        <v>88</v>
      </c>
      <c r="AF47" s="173" t="s">
        <v>88</v>
      </c>
      <c r="AG47" s="173" t="s">
        <v>88</v>
      </c>
      <c r="AH47" s="173" t="s">
        <v>88</v>
      </c>
      <c r="AI47" s="173" t="s">
        <v>88</v>
      </c>
      <c r="AJ47" s="173" t="s">
        <v>88</v>
      </c>
      <c r="AK47" s="173" t="s">
        <v>88</v>
      </c>
      <c r="AL47" s="141"/>
      <c r="AM47" s="188"/>
      <c r="AN47" s="188"/>
      <c r="AO47" s="188"/>
      <c r="AP47" s="188"/>
      <c r="AQ47" s="188"/>
      <c r="AR47" s="188"/>
      <c r="AS47" s="188"/>
      <c r="AT47" s="188"/>
      <c r="AU47" s="188"/>
      <c r="AV47" s="188"/>
      <c r="AW47" s="188"/>
      <c r="AX47" s="188"/>
      <c r="AY47" s="188"/>
      <c r="AZ47" s="188"/>
      <c r="BA47" s="188"/>
      <c r="BB47" s="188"/>
      <c r="BC47" s="188"/>
      <c r="BD47" s="188"/>
      <c r="BE47" s="188"/>
      <c r="BF47" s="188"/>
      <c r="BG47" s="188"/>
      <c r="BH47" s="188"/>
      <c r="BI47" s="188"/>
      <c r="BJ47" s="188"/>
      <c r="BK47" s="188"/>
      <c r="BL47" s="188"/>
      <c r="BM47" s="188"/>
      <c r="BN47" s="188"/>
      <c r="BO47" s="188"/>
      <c r="BP47" s="188"/>
    </row>
    <row r="48" spans="2:68" x14ac:dyDescent="0.15">
      <c r="B48" s="170">
        <v>11694</v>
      </c>
      <c r="C48" s="170" t="s">
        <v>473</v>
      </c>
      <c r="D48" s="170" t="s">
        <v>453</v>
      </c>
      <c r="E48" s="170" t="s">
        <v>454</v>
      </c>
      <c r="F48" s="170" t="s">
        <v>246</v>
      </c>
      <c r="G48" s="170" t="s">
        <v>246</v>
      </c>
      <c r="H48" s="170">
        <v>154</v>
      </c>
      <c r="I48" s="169"/>
      <c r="J48" s="170" t="s">
        <v>83</v>
      </c>
      <c r="K48" s="171" t="s">
        <v>83</v>
      </c>
      <c r="L48" s="171" t="s">
        <v>83</v>
      </c>
      <c r="M48" s="171" t="s">
        <v>83</v>
      </c>
      <c r="N48" s="171" t="s">
        <v>83</v>
      </c>
      <c r="O48" s="171" t="s">
        <v>83</v>
      </c>
      <c r="P48" s="171" t="s">
        <v>83</v>
      </c>
      <c r="Q48" s="171" t="s">
        <v>83</v>
      </c>
      <c r="R48" s="171" t="s">
        <v>83</v>
      </c>
      <c r="S48" s="171" t="s">
        <v>83</v>
      </c>
      <c r="T48" s="171" t="s">
        <v>83</v>
      </c>
      <c r="U48" s="171" t="s">
        <v>83</v>
      </c>
      <c r="V48" s="171" t="s">
        <v>83</v>
      </c>
      <c r="W48" s="171" t="s">
        <v>83</v>
      </c>
      <c r="X48" s="171" t="s">
        <v>83</v>
      </c>
      <c r="Y48" s="171" t="s">
        <v>83</v>
      </c>
      <c r="Z48" s="171" t="s">
        <v>83</v>
      </c>
      <c r="AA48" s="171" t="s">
        <v>83</v>
      </c>
      <c r="AB48" s="171" t="s">
        <v>83</v>
      </c>
      <c r="AC48" s="171" t="s">
        <v>83</v>
      </c>
      <c r="AD48" s="171" t="s">
        <v>83</v>
      </c>
      <c r="AE48" s="171" t="s">
        <v>83</v>
      </c>
      <c r="AF48" s="171" t="s">
        <v>83</v>
      </c>
      <c r="AG48" s="171" t="s">
        <v>83</v>
      </c>
      <c r="AH48" s="171" t="s">
        <v>83</v>
      </c>
      <c r="AI48" s="171" t="s">
        <v>83</v>
      </c>
      <c r="AJ48" s="171" t="s">
        <v>83</v>
      </c>
      <c r="AK48" s="171" t="s">
        <v>83</v>
      </c>
      <c r="AL48" s="141"/>
      <c r="AM48" s="188"/>
      <c r="AN48" s="188"/>
      <c r="AO48" s="188"/>
      <c r="AP48" s="188"/>
      <c r="AQ48" s="188"/>
      <c r="AR48" s="188"/>
      <c r="AS48" s="188"/>
      <c r="AT48" s="188"/>
      <c r="AU48" s="188"/>
      <c r="AV48" s="188"/>
      <c r="AW48" s="188"/>
      <c r="AX48" s="188"/>
      <c r="AY48" s="188"/>
      <c r="AZ48" s="188"/>
      <c r="BA48" s="188"/>
      <c r="BB48" s="188"/>
      <c r="BC48" s="188"/>
      <c r="BD48" s="188"/>
      <c r="BE48" s="188"/>
      <c r="BF48" s="188"/>
      <c r="BG48" s="188"/>
      <c r="BH48" s="188"/>
      <c r="BI48" s="188"/>
      <c r="BJ48" s="188"/>
      <c r="BK48" s="188"/>
      <c r="BL48" s="188"/>
      <c r="BM48" s="188"/>
      <c r="BN48" s="188"/>
      <c r="BO48" s="188"/>
      <c r="BP48" s="188"/>
    </row>
    <row r="49" spans="2:68" x14ac:dyDescent="0.15">
      <c r="B49" s="141">
        <v>27723</v>
      </c>
      <c r="C49" s="141" t="s">
        <v>474</v>
      </c>
      <c r="D49" s="141" t="s">
        <v>453</v>
      </c>
      <c r="E49" s="141" t="s">
        <v>454</v>
      </c>
      <c r="F49" s="141" t="s">
        <v>286</v>
      </c>
      <c r="G49" s="141" t="s">
        <v>105</v>
      </c>
      <c r="H49" s="141">
        <v>0</v>
      </c>
      <c r="I49" s="172" t="s">
        <v>87</v>
      </c>
      <c r="J49" s="141"/>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c r="AK49" s="173"/>
      <c r="AL49" s="141"/>
      <c r="AM49" s="188"/>
      <c r="AN49" s="188"/>
      <c r="AO49" s="188"/>
      <c r="AP49" s="188"/>
      <c r="AQ49" s="188"/>
      <c r="AR49" s="188"/>
      <c r="AS49" s="188"/>
      <c r="AT49" s="188"/>
      <c r="AU49" s="188"/>
      <c r="AV49" s="188"/>
      <c r="AW49" s="188"/>
      <c r="AX49" s="188"/>
      <c r="AY49" s="188"/>
      <c r="AZ49" s="188"/>
      <c r="BA49" s="188"/>
      <c r="BB49" s="188"/>
      <c r="BC49" s="188"/>
      <c r="BD49" s="188"/>
      <c r="BE49" s="188"/>
      <c r="BF49" s="188"/>
      <c r="BG49" s="188"/>
      <c r="BH49" s="188"/>
      <c r="BI49" s="188"/>
      <c r="BJ49" s="188"/>
      <c r="BK49" s="188"/>
      <c r="BL49" s="188"/>
      <c r="BM49" s="188"/>
      <c r="BN49" s="188"/>
      <c r="BO49" s="188"/>
      <c r="BP49" s="188"/>
    </row>
    <row r="50" spans="2:68" x14ac:dyDescent="0.15">
      <c r="B50" s="170">
        <v>28134</v>
      </c>
      <c r="C50" s="170" t="s">
        <v>475</v>
      </c>
      <c r="D50" s="170" t="s">
        <v>453</v>
      </c>
      <c r="E50" s="170" t="s">
        <v>454</v>
      </c>
      <c r="F50" s="170" t="s">
        <v>476</v>
      </c>
      <c r="G50" s="170" t="s">
        <v>287</v>
      </c>
      <c r="H50" s="170">
        <v>0</v>
      </c>
      <c r="I50" s="169"/>
      <c r="J50" s="170"/>
      <c r="K50" s="171"/>
      <c r="L50" s="171"/>
      <c r="M50" s="171"/>
      <c r="N50" s="171"/>
      <c r="O50" s="171"/>
      <c r="P50" s="171"/>
      <c r="Q50" s="171"/>
      <c r="R50" s="171"/>
      <c r="S50" s="171"/>
      <c r="T50" s="171"/>
      <c r="U50" s="171"/>
      <c r="V50" s="171"/>
      <c r="W50" s="171"/>
      <c r="X50" s="171"/>
      <c r="Y50" s="171"/>
      <c r="Z50" s="171"/>
      <c r="AA50" s="171"/>
      <c r="AB50" s="171"/>
      <c r="AC50" s="171"/>
      <c r="AD50" s="171"/>
      <c r="AE50" s="171"/>
      <c r="AF50" s="171"/>
      <c r="AG50" s="171"/>
      <c r="AH50" s="171"/>
      <c r="AI50" s="171"/>
      <c r="AJ50" s="171"/>
      <c r="AK50" s="171"/>
      <c r="AL50" s="141"/>
      <c r="AM50" s="188"/>
      <c r="AN50" s="188"/>
      <c r="AO50" s="188"/>
      <c r="AP50" s="188"/>
      <c r="AQ50" s="188"/>
      <c r="AR50" s="188"/>
      <c r="AS50" s="188"/>
      <c r="AT50" s="188"/>
      <c r="AU50" s="188"/>
      <c r="AV50" s="188"/>
      <c r="AW50" s="188"/>
      <c r="AX50" s="188"/>
      <c r="AY50" s="188"/>
      <c r="AZ50" s="188"/>
      <c r="BA50" s="188"/>
      <c r="BB50" s="188"/>
      <c r="BC50" s="188"/>
      <c r="BD50" s="188"/>
      <c r="BE50" s="188"/>
      <c r="BF50" s="188"/>
      <c r="BG50" s="188"/>
      <c r="BH50" s="188"/>
      <c r="BI50" s="188"/>
      <c r="BJ50" s="188"/>
      <c r="BK50" s="188"/>
      <c r="BL50" s="188"/>
      <c r="BM50" s="188"/>
      <c r="BN50" s="188"/>
      <c r="BO50" s="188"/>
      <c r="BP50" s="188"/>
    </row>
    <row r="51" spans="2:68" x14ac:dyDescent="0.15">
      <c r="B51" s="141">
        <v>7189</v>
      </c>
      <c r="C51" s="141" t="s">
        <v>477</v>
      </c>
      <c r="D51" s="141" t="s">
        <v>453</v>
      </c>
      <c r="E51" s="141" t="s">
        <v>454</v>
      </c>
      <c r="F51" s="141" t="s">
        <v>478</v>
      </c>
      <c r="G51" s="141" t="s">
        <v>479</v>
      </c>
      <c r="H51" s="141">
        <v>50</v>
      </c>
      <c r="I51" s="172"/>
      <c r="J51" s="141"/>
      <c r="K51" s="173"/>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c r="AK51" s="173"/>
      <c r="AL51" s="141"/>
      <c r="AM51" s="188"/>
      <c r="AN51" s="188"/>
      <c r="AO51" s="188"/>
      <c r="AP51" s="188"/>
      <c r="AQ51" s="188"/>
      <c r="AR51" s="188"/>
      <c r="AS51" s="188"/>
      <c r="AT51" s="188"/>
      <c r="AU51" s="188"/>
      <c r="AV51" s="188"/>
      <c r="AW51" s="188"/>
      <c r="AX51" s="188"/>
      <c r="AY51" s="188"/>
      <c r="AZ51" s="188"/>
      <c r="BA51" s="188"/>
      <c r="BB51" s="188"/>
      <c r="BC51" s="188"/>
      <c r="BD51" s="188"/>
      <c r="BE51" s="188"/>
      <c r="BF51" s="188"/>
      <c r="BG51" s="188"/>
      <c r="BH51" s="188"/>
      <c r="BI51" s="188"/>
      <c r="BJ51" s="188"/>
      <c r="BK51" s="188"/>
      <c r="BL51" s="188"/>
      <c r="BM51" s="188"/>
      <c r="BN51" s="188"/>
      <c r="BO51" s="188"/>
      <c r="BP51" s="188"/>
    </row>
    <row r="52" spans="2:68" x14ac:dyDescent="0.15">
      <c r="B52" s="170">
        <v>18225</v>
      </c>
      <c r="C52" s="170" t="s">
        <v>480</v>
      </c>
      <c r="D52" s="170" t="s">
        <v>453</v>
      </c>
      <c r="E52" s="170" t="s">
        <v>454</v>
      </c>
      <c r="F52" s="170" t="s">
        <v>481</v>
      </c>
      <c r="G52" s="170" t="s">
        <v>253</v>
      </c>
      <c r="H52" s="170">
        <v>46</v>
      </c>
      <c r="I52" s="169"/>
      <c r="J52" s="170" t="s">
        <v>83</v>
      </c>
      <c r="K52" s="171" t="s">
        <v>83</v>
      </c>
      <c r="L52" s="171" t="s">
        <v>83</v>
      </c>
      <c r="M52" s="171" t="s">
        <v>83</v>
      </c>
      <c r="N52" s="171" t="s">
        <v>83</v>
      </c>
      <c r="O52" s="171" t="s">
        <v>83</v>
      </c>
      <c r="P52" s="171" t="s">
        <v>83</v>
      </c>
      <c r="Q52" s="171" t="s">
        <v>83</v>
      </c>
      <c r="R52" s="171" t="s">
        <v>83</v>
      </c>
      <c r="S52" s="171" t="s">
        <v>83</v>
      </c>
      <c r="T52" s="171" t="s">
        <v>83</v>
      </c>
      <c r="U52" s="171" t="s">
        <v>83</v>
      </c>
      <c r="V52" s="171" t="s">
        <v>83</v>
      </c>
      <c r="W52" s="171" t="s">
        <v>83</v>
      </c>
      <c r="X52" s="171" t="s">
        <v>83</v>
      </c>
      <c r="Y52" s="171" t="s">
        <v>83</v>
      </c>
      <c r="Z52" s="171" t="s">
        <v>83</v>
      </c>
      <c r="AA52" s="171" t="s">
        <v>83</v>
      </c>
      <c r="AB52" s="171" t="s">
        <v>83</v>
      </c>
      <c r="AC52" s="171" t="s">
        <v>83</v>
      </c>
      <c r="AD52" s="171" t="s">
        <v>83</v>
      </c>
      <c r="AE52" s="171" t="s">
        <v>83</v>
      </c>
      <c r="AF52" s="171" t="s">
        <v>83</v>
      </c>
      <c r="AG52" s="171" t="s">
        <v>83</v>
      </c>
      <c r="AH52" s="171" t="s">
        <v>83</v>
      </c>
      <c r="AI52" s="171" t="s">
        <v>83</v>
      </c>
      <c r="AJ52" s="171" t="s">
        <v>83</v>
      </c>
      <c r="AK52" s="171" t="s">
        <v>83</v>
      </c>
      <c r="AL52" s="141"/>
      <c r="AM52" s="188"/>
      <c r="AN52" s="188"/>
      <c r="AO52" s="188"/>
      <c r="AP52" s="188"/>
      <c r="AQ52" s="188"/>
      <c r="AR52" s="188"/>
      <c r="AS52" s="188"/>
      <c r="AT52" s="188"/>
      <c r="AU52" s="188"/>
      <c r="AV52" s="188"/>
      <c r="AW52" s="188"/>
      <c r="AX52" s="188"/>
      <c r="AY52" s="188"/>
      <c r="AZ52" s="188"/>
      <c r="BA52" s="188"/>
      <c r="BB52" s="188"/>
      <c r="BC52" s="188"/>
      <c r="BD52" s="188"/>
      <c r="BE52" s="188"/>
      <c r="BF52" s="188"/>
      <c r="BG52" s="188"/>
      <c r="BH52" s="188"/>
      <c r="BI52" s="188"/>
      <c r="BJ52" s="188"/>
      <c r="BK52" s="188"/>
      <c r="BL52" s="188"/>
      <c r="BM52" s="188"/>
      <c r="BN52" s="188"/>
      <c r="BO52" s="188"/>
      <c r="BP52" s="188"/>
    </row>
    <row r="53" spans="2:68" x14ac:dyDescent="0.15">
      <c r="B53" s="141">
        <v>18216</v>
      </c>
      <c r="C53" s="141" t="s">
        <v>482</v>
      </c>
      <c r="D53" s="141" t="s">
        <v>453</v>
      </c>
      <c r="E53" s="141" t="s">
        <v>454</v>
      </c>
      <c r="F53" s="141" t="s">
        <v>483</v>
      </c>
      <c r="G53" s="141" t="s">
        <v>484</v>
      </c>
      <c r="H53" s="141">
        <v>56</v>
      </c>
      <c r="I53" s="172"/>
      <c r="J53" s="141" t="s">
        <v>83</v>
      </c>
      <c r="K53" s="173" t="s">
        <v>83</v>
      </c>
      <c r="L53" s="173" t="s">
        <v>83</v>
      </c>
      <c r="M53" s="173" t="s">
        <v>83</v>
      </c>
      <c r="N53" s="173" t="s">
        <v>83</v>
      </c>
      <c r="O53" s="173" t="s">
        <v>83</v>
      </c>
      <c r="P53" s="173" t="s">
        <v>83</v>
      </c>
      <c r="Q53" s="173" t="s">
        <v>83</v>
      </c>
      <c r="R53" s="173" t="s">
        <v>83</v>
      </c>
      <c r="S53" s="173" t="s">
        <v>83</v>
      </c>
      <c r="T53" s="173" t="s">
        <v>83</v>
      </c>
      <c r="U53" s="173" t="s">
        <v>83</v>
      </c>
      <c r="V53" s="173" t="s">
        <v>83</v>
      </c>
      <c r="W53" s="173" t="s">
        <v>88</v>
      </c>
      <c r="X53" s="173" t="s">
        <v>83</v>
      </c>
      <c r="Y53" s="173" t="s">
        <v>83</v>
      </c>
      <c r="Z53" s="173" t="s">
        <v>83</v>
      </c>
      <c r="AA53" s="173" t="s">
        <v>83</v>
      </c>
      <c r="AB53" s="173" t="s">
        <v>83</v>
      </c>
      <c r="AC53" s="173" t="s">
        <v>83</v>
      </c>
      <c r="AD53" s="173" t="s">
        <v>88</v>
      </c>
      <c r="AE53" s="173" t="s">
        <v>83</v>
      </c>
      <c r="AF53" s="173" t="s">
        <v>83</v>
      </c>
      <c r="AG53" s="173" t="s">
        <v>83</v>
      </c>
      <c r="AH53" s="173" t="s">
        <v>83</v>
      </c>
      <c r="AI53" s="173" t="s">
        <v>83</v>
      </c>
      <c r="AJ53" s="173" t="s">
        <v>83</v>
      </c>
      <c r="AK53" s="173" t="s">
        <v>83</v>
      </c>
      <c r="AL53" s="141"/>
      <c r="AM53" s="188"/>
      <c r="AN53" s="188"/>
      <c r="AO53" s="188"/>
      <c r="AP53" s="188"/>
      <c r="AQ53" s="188"/>
      <c r="AR53" s="188"/>
      <c r="AS53" s="188"/>
      <c r="AT53" s="188"/>
      <c r="AU53" s="188"/>
      <c r="AV53" s="188"/>
      <c r="AW53" s="188"/>
      <c r="AX53" s="188"/>
      <c r="AY53" s="188"/>
      <c r="AZ53" s="188"/>
      <c r="BA53" s="188"/>
      <c r="BB53" s="188"/>
      <c r="BC53" s="188"/>
      <c r="BD53" s="188"/>
      <c r="BE53" s="188"/>
      <c r="BF53" s="188"/>
      <c r="BG53" s="188"/>
      <c r="BH53" s="188"/>
      <c r="BI53" s="188"/>
      <c r="BJ53" s="188"/>
      <c r="BK53" s="188"/>
      <c r="BL53" s="188"/>
      <c r="BM53" s="188"/>
      <c r="BN53" s="188"/>
      <c r="BO53" s="188"/>
      <c r="BP53" s="188"/>
    </row>
    <row r="54" spans="2:68" x14ac:dyDescent="0.15">
      <c r="B54" s="170">
        <v>18204</v>
      </c>
      <c r="C54" s="170" t="s">
        <v>485</v>
      </c>
      <c r="D54" s="170" t="s">
        <v>453</v>
      </c>
      <c r="E54" s="170" t="s">
        <v>454</v>
      </c>
      <c r="F54" s="170" t="s">
        <v>486</v>
      </c>
      <c r="G54" s="170" t="s">
        <v>287</v>
      </c>
      <c r="H54" s="170">
        <v>35</v>
      </c>
      <c r="I54" s="169"/>
      <c r="J54" s="170" t="s">
        <v>83</v>
      </c>
      <c r="K54" s="171" t="s">
        <v>83</v>
      </c>
      <c r="L54" s="171" t="s">
        <v>83</v>
      </c>
      <c r="M54" s="171" t="s">
        <v>83</v>
      </c>
      <c r="N54" s="171" t="s">
        <v>83</v>
      </c>
      <c r="O54" s="171" t="s">
        <v>83</v>
      </c>
      <c r="P54" s="171" t="s">
        <v>83</v>
      </c>
      <c r="Q54" s="171" t="s">
        <v>83</v>
      </c>
      <c r="R54" s="171" t="s">
        <v>83</v>
      </c>
      <c r="S54" s="171" t="s">
        <v>83</v>
      </c>
      <c r="T54" s="171" t="s">
        <v>83</v>
      </c>
      <c r="U54" s="171" t="s">
        <v>83</v>
      </c>
      <c r="V54" s="171" t="s">
        <v>83</v>
      </c>
      <c r="W54" s="171" t="s">
        <v>83</v>
      </c>
      <c r="X54" s="171" t="s">
        <v>83</v>
      </c>
      <c r="Y54" s="171" t="s">
        <v>83</v>
      </c>
      <c r="Z54" s="171" t="s">
        <v>83</v>
      </c>
      <c r="AA54" s="171" t="s">
        <v>83</v>
      </c>
      <c r="AB54" s="171" t="s">
        <v>83</v>
      </c>
      <c r="AC54" s="171" t="s">
        <v>83</v>
      </c>
      <c r="AD54" s="171" t="s">
        <v>88</v>
      </c>
      <c r="AE54" s="171" t="s">
        <v>83</v>
      </c>
      <c r="AF54" s="171" t="s">
        <v>83</v>
      </c>
      <c r="AG54" s="171" t="s">
        <v>83</v>
      </c>
      <c r="AH54" s="171" t="s">
        <v>83</v>
      </c>
      <c r="AI54" s="171" t="s">
        <v>83</v>
      </c>
      <c r="AJ54" s="171" t="s">
        <v>83</v>
      </c>
      <c r="AK54" s="171" t="s">
        <v>83</v>
      </c>
      <c r="AL54" s="141"/>
      <c r="AM54" s="188"/>
      <c r="AN54" s="188"/>
      <c r="AO54" s="188"/>
      <c r="AP54" s="188"/>
      <c r="AQ54" s="188"/>
      <c r="AR54" s="188"/>
      <c r="AS54" s="188"/>
      <c r="AT54" s="188"/>
      <c r="AU54" s="188"/>
      <c r="AV54" s="188"/>
      <c r="AW54" s="188"/>
      <c r="AX54" s="188"/>
      <c r="AY54" s="188"/>
      <c r="AZ54" s="188"/>
      <c r="BA54" s="188"/>
      <c r="BB54" s="188"/>
      <c r="BC54" s="188"/>
      <c r="BD54" s="188"/>
      <c r="BE54" s="188"/>
      <c r="BF54" s="188"/>
      <c r="BG54" s="188"/>
      <c r="BH54" s="188"/>
      <c r="BI54" s="188"/>
      <c r="BJ54" s="188"/>
      <c r="BK54" s="188"/>
      <c r="BL54" s="188"/>
      <c r="BM54" s="188"/>
      <c r="BN54" s="188"/>
      <c r="BO54" s="188"/>
      <c r="BP54" s="188"/>
    </row>
    <row r="55" spans="2:68" x14ac:dyDescent="0.15">
      <c r="B55" s="141">
        <v>41794</v>
      </c>
      <c r="C55" s="141" t="s">
        <v>487</v>
      </c>
      <c r="D55" s="141" t="s">
        <v>453</v>
      </c>
      <c r="E55" s="141" t="s">
        <v>454</v>
      </c>
      <c r="F55" s="141" t="s">
        <v>132</v>
      </c>
      <c r="G55" s="141" t="s">
        <v>132</v>
      </c>
      <c r="H55" s="141">
        <v>20</v>
      </c>
      <c r="I55" s="172"/>
      <c r="J55" s="141"/>
      <c r="K55" s="173"/>
      <c r="L55" s="173"/>
      <c r="M55" s="173"/>
      <c r="N55" s="173"/>
      <c r="O55" s="173"/>
      <c r="P55" s="173"/>
      <c r="Q55" s="173"/>
      <c r="R55" s="173"/>
      <c r="S55" s="173"/>
      <c r="T55" s="173"/>
      <c r="U55" s="173"/>
      <c r="V55" s="173"/>
      <c r="W55" s="173"/>
      <c r="X55" s="173"/>
      <c r="Y55" s="173"/>
      <c r="Z55" s="173"/>
      <c r="AA55" s="173"/>
      <c r="AB55" s="173"/>
      <c r="AC55" s="173"/>
      <c r="AD55" s="173"/>
      <c r="AE55" s="173"/>
      <c r="AF55" s="173"/>
      <c r="AG55" s="173"/>
      <c r="AH55" s="173"/>
      <c r="AI55" s="173"/>
      <c r="AJ55" s="173"/>
      <c r="AK55" s="173"/>
      <c r="AL55" s="141"/>
      <c r="AM55" s="188"/>
      <c r="AN55" s="188"/>
      <c r="AO55" s="188"/>
      <c r="AP55" s="188"/>
      <c r="AQ55" s="188"/>
      <c r="AR55" s="188"/>
      <c r="AS55" s="188"/>
      <c r="AT55" s="188"/>
      <c r="AU55" s="188"/>
      <c r="AV55" s="188"/>
      <c r="AW55" s="188"/>
      <c r="AX55" s="188"/>
      <c r="AY55" s="188"/>
      <c r="AZ55" s="188"/>
      <c r="BA55" s="188"/>
      <c r="BB55" s="188"/>
      <c r="BC55" s="188"/>
      <c r="BD55" s="188"/>
      <c r="BE55" s="188"/>
      <c r="BF55" s="188"/>
      <c r="BG55" s="188"/>
      <c r="BH55" s="188"/>
      <c r="BI55" s="188"/>
      <c r="BJ55" s="188"/>
      <c r="BK55" s="188"/>
      <c r="BL55" s="188"/>
      <c r="BM55" s="188"/>
      <c r="BN55" s="188"/>
      <c r="BO55" s="188"/>
      <c r="BP55" s="188"/>
    </row>
    <row r="56" spans="2:68" x14ac:dyDescent="0.15">
      <c r="B56" s="170">
        <v>18182</v>
      </c>
      <c r="C56" s="170" t="s">
        <v>488</v>
      </c>
      <c r="D56" s="170" t="s">
        <v>453</v>
      </c>
      <c r="E56" s="170" t="s">
        <v>454</v>
      </c>
      <c r="F56" s="170" t="s">
        <v>100</v>
      </c>
      <c r="G56" s="170" t="s">
        <v>100</v>
      </c>
      <c r="H56" s="170">
        <v>54</v>
      </c>
      <c r="I56" s="169"/>
      <c r="J56" s="170" t="s">
        <v>88</v>
      </c>
      <c r="K56" s="171" t="s">
        <v>88</v>
      </c>
      <c r="L56" s="171" t="s">
        <v>88</v>
      </c>
      <c r="M56" s="171" t="s">
        <v>88</v>
      </c>
      <c r="N56" s="171" t="s">
        <v>88</v>
      </c>
      <c r="O56" s="171" t="s">
        <v>88</v>
      </c>
      <c r="P56" s="171" t="s">
        <v>88</v>
      </c>
      <c r="Q56" s="171" t="s">
        <v>88</v>
      </c>
      <c r="R56" s="171" t="s">
        <v>88</v>
      </c>
      <c r="S56" s="171" t="s">
        <v>88</v>
      </c>
      <c r="T56" s="171" t="s">
        <v>88</v>
      </c>
      <c r="U56" s="171" t="s">
        <v>88</v>
      </c>
      <c r="V56" s="171" t="s">
        <v>88</v>
      </c>
      <c r="W56" s="171" t="s">
        <v>88</v>
      </c>
      <c r="X56" s="171" t="s">
        <v>88</v>
      </c>
      <c r="Y56" s="171" t="s">
        <v>88</v>
      </c>
      <c r="Z56" s="171" t="s">
        <v>88</v>
      </c>
      <c r="AA56" s="171" t="s">
        <v>88</v>
      </c>
      <c r="AB56" s="171" t="s">
        <v>88</v>
      </c>
      <c r="AC56" s="171" t="s">
        <v>88</v>
      </c>
      <c r="AD56" s="171" t="s">
        <v>88</v>
      </c>
      <c r="AE56" s="171" t="s">
        <v>88</v>
      </c>
      <c r="AF56" s="171" t="s">
        <v>88</v>
      </c>
      <c r="AG56" s="171" t="s">
        <v>88</v>
      </c>
      <c r="AH56" s="171" t="s">
        <v>88</v>
      </c>
      <c r="AI56" s="171" t="s">
        <v>88</v>
      </c>
      <c r="AJ56" s="171" t="s">
        <v>88</v>
      </c>
      <c r="AK56" s="171" t="s">
        <v>88</v>
      </c>
      <c r="AL56" s="141"/>
      <c r="AM56" s="188"/>
      <c r="AN56" s="188"/>
      <c r="AO56" s="188"/>
      <c r="AP56" s="188"/>
      <c r="AQ56" s="188"/>
      <c r="AR56" s="188"/>
      <c r="AS56" s="188"/>
      <c r="AT56" s="188"/>
      <c r="AU56" s="188"/>
      <c r="AV56" s="188"/>
      <c r="AW56" s="188"/>
      <c r="AX56" s="188"/>
      <c r="AY56" s="188"/>
      <c r="AZ56" s="188"/>
      <c r="BA56" s="188"/>
      <c r="BB56" s="188"/>
      <c r="BC56" s="188"/>
      <c r="BD56" s="188"/>
      <c r="BE56" s="188"/>
      <c r="BF56" s="188"/>
      <c r="BG56" s="188"/>
      <c r="BH56" s="188"/>
      <c r="BI56" s="188"/>
      <c r="BJ56" s="188"/>
      <c r="BK56" s="188"/>
      <c r="BL56" s="188"/>
      <c r="BM56" s="188"/>
      <c r="BN56" s="188"/>
      <c r="BO56" s="188"/>
      <c r="BP56" s="188"/>
    </row>
    <row r="57" spans="2:68" x14ac:dyDescent="0.15">
      <c r="B57" s="141">
        <v>41758</v>
      </c>
      <c r="C57" s="141" t="s">
        <v>489</v>
      </c>
      <c r="D57" s="141" t="s">
        <v>453</v>
      </c>
      <c r="E57" s="141" t="s">
        <v>454</v>
      </c>
      <c r="F57" s="141" t="s">
        <v>331</v>
      </c>
      <c r="G57" s="141" t="s">
        <v>331</v>
      </c>
      <c r="H57" s="141">
        <v>15</v>
      </c>
      <c r="I57" s="172"/>
      <c r="J57" s="141"/>
      <c r="K57" s="173"/>
      <c r="L57" s="173"/>
      <c r="M57" s="173"/>
      <c r="N57" s="173"/>
      <c r="O57" s="173"/>
      <c r="P57" s="173"/>
      <c r="Q57" s="173"/>
      <c r="R57" s="173"/>
      <c r="S57" s="173"/>
      <c r="T57" s="173"/>
      <c r="U57" s="173"/>
      <c r="V57" s="173"/>
      <c r="W57" s="173"/>
      <c r="X57" s="173"/>
      <c r="Y57" s="173"/>
      <c r="Z57" s="173"/>
      <c r="AA57" s="173"/>
      <c r="AB57" s="173"/>
      <c r="AC57" s="173"/>
      <c r="AD57" s="173"/>
      <c r="AE57" s="173"/>
      <c r="AF57" s="173"/>
      <c r="AG57" s="173"/>
      <c r="AH57" s="173"/>
      <c r="AI57" s="173"/>
      <c r="AJ57" s="173"/>
      <c r="AK57" s="173"/>
      <c r="AL57" s="141"/>
      <c r="AM57" s="188"/>
      <c r="AN57" s="188"/>
      <c r="AO57" s="188"/>
      <c r="AP57" s="188"/>
      <c r="AQ57" s="188"/>
      <c r="AR57" s="188"/>
      <c r="AS57" s="188"/>
      <c r="AT57" s="188"/>
      <c r="AU57" s="188"/>
      <c r="AV57" s="188"/>
      <c r="AW57" s="188"/>
      <c r="AX57" s="188"/>
      <c r="AY57" s="188"/>
      <c r="AZ57" s="188"/>
      <c r="BA57" s="188"/>
      <c r="BB57" s="188"/>
      <c r="BC57" s="188"/>
      <c r="BD57" s="188"/>
      <c r="BE57" s="188"/>
      <c r="BF57" s="188"/>
      <c r="BG57" s="188"/>
      <c r="BH57" s="188"/>
      <c r="BI57" s="188"/>
      <c r="BJ57" s="188"/>
      <c r="BK57" s="188"/>
      <c r="BL57" s="188"/>
      <c r="BM57" s="188"/>
      <c r="BN57" s="188"/>
      <c r="BO57" s="188"/>
      <c r="BP57" s="188"/>
    </row>
    <row r="58" spans="2:68" x14ac:dyDescent="0.15">
      <c r="B58" s="170">
        <v>18206</v>
      </c>
      <c r="C58" s="170" t="s">
        <v>490</v>
      </c>
      <c r="D58" s="170" t="s">
        <v>453</v>
      </c>
      <c r="E58" s="170" t="s">
        <v>454</v>
      </c>
      <c r="F58" s="170" t="s">
        <v>90</v>
      </c>
      <c r="G58" s="170" t="s">
        <v>422</v>
      </c>
      <c r="H58" s="170">
        <v>20</v>
      </c>
      <c r="I58" s="169"/>
      <c r="J58" s="170"/>
      <c r="K58" s="171"/>
      <c r="L58" s="171"/>
      <c r="M58" s="171"/>
      <c r="N58" s="171"/>
      <c r="O58" s="171"/>
      <c r="P58" s="171"/>
      <c r="Q58" s="171"/>
      <c r="R58" s="171"/>
      <c r="S58" s="171"/>
      <c r="T58" s="171"/>
      <c r="U58" s="171"/>
      <c r="V58" s="171"/>
      <c r="W58" s="171"/>
      <c r="X58" s="171"/>
      <c r="Y58" s="171"/>
      <c r="Z58" s="171"/>
      <c r="AA58" s="171"/>
      <c r="AB58" s="171"/>
      <c r="AC58" s="171"/>
      <c r="AD58" s="171"/>
      <c r="AE58" s="171"/>
      <c r="AF58" s="171"/>
      <c r="AG58" s="171"/>
      <c r="AH58" s="171"/>
      <c r="AI58" s="171"/>
      <c r="AJ58" s="171"/>
      <c r="AK58" s="171"/>
      <c r="AL58" s="141"/>
      <c r="AM58" s="188"/>
      <c r="AN58" s="188"/>
      <c r="AO58" s="188"/>
      <c r="AP58" s="188"/>
      <c r="AQ58" s="188"/>
      <c r="AR58" s="188"/>
      <c r="AS58" s="188"/>
      <c r="AT58" s="188"/>
      <c r="AU58" s="188"/>
      <c r="AV58" s="188"/>
      <c r="AW58" s="188"/>
      <c r="AX58" s="188"/>
      <c r="AY58" s="188"/>
      <c r="AZ58" s="188"/>
      <c r="BA58" s="188"/>
      <c r="BB58" s="188"/>
      <c r="BC58" s="188"/>
      <c r="BD58" s="188"/>
      <c r="BE58" s="188"/>
      <c r="BF58" s="188"/>
      <c r="BG58" s="188"/>
      <c r="BH58" s="188"/>
      <c r="BI58" s="188"/>
      <c r="BJ58" s="188"/>
      <c r="BK58" s="188"/>
      <c r="BL58" s="188"/>
      <c r="BM58" s="188"/>
      <c r="BN58" s="188"/>
      <c r="BO58" s="188"/>
      <c r="BP58" s="188"/>
    </row>
    <row r="59" spans="2:68" x14ac:dyDescent="0.15">
      <c r="B59" s="141">
        <v>21210</v>
      </c>
      <c r="C59" s="141" t="s">
        <v>491</v>
      </c>
      <c r="D59" s="141" t="s">
        <v>453</v>
      </c>
      <c r="E59" s="141" t="s">
        <v>454</v>
      </c>
      <c r="F59" s="141" t="s">
        <v>492</v>
      </c>
      <c r="G59" s="141" t="s">
        <v>493</v>
      </c>
      <c r="H59" s="141">
        <v>49</v>
      </c>
      <c r="I59" s="172"/>
      <c r="J59" s="141" t="s">
        <v>83</v>
      </c>
      <c r="K59" s="173" t="s">
        <v>83</v>
      </c>
      <c r="L59" s="173" t="s">
        <v>83</v>
      </c>
      <c r="M59" s="173" t="s">
        <v>83</v>
      </c>
      <c r="N59" s="173" t="s">
        <v>83</v>
      </c>
      <c r="O59" s="173" t="s">
        <v>83</v>
      </c>
      <c r="P59" s="173" t="s">
        <v>83</v>
      </c>
      <c r="Q59" s="173" t="s">
        <v>83</v>
      </c>
      <c r="R59" s="173" t="s">
        <v>83</v>
      </c>
      <c r="S59" s="173" t="s">
        <v>83</v>
      </c>
      <c r="T59" s="173" t="s">
        <v>83</v>
      </c>
      <c r="U59" s="173" t="s">
        <v>83</v>
      </c>
      <c r="V59" s="173" t="s">
        <v>83</v>
      </c>
      <c r="W59" s="173" t="s">
        <v>83</v>
      </c>
      <c r="X59" s="173" t="s">
        <v>83</v>
      </c>
      <c r="Y59" s="173" t="s">
        <v>83</v>
      </c>
      <c r="Z59" s="173" t="s">
        <v>83</v>
      </c>
      <c r="AA59" s="173" t="s">
        <v>83</v>
      </c>
      <c r="AB59" s="173" t="s">
        <v>83</v>
      </c>
      <c r="AC59" s="173" t="s">
        <v>83</v>
      </c>
      <c r="AD59" s="173" t="s">
        <v>83</v>
      </c>
      <c r="AE59" s="173" t="s">
        <v>83</v>
      </c>
      <c r="AF59" s="173" t="s">
        <v>83</v>
      </c>
      <c r="AG59" s="173" t="s">
        <v>83</v>
      </c>
      <c r="AH59" s="173" t="s">
        <v>83</v>
      </c>
      <c r="AI59" s="173" t="s">
        <v>83</v>
      </c>
      <c r="AJ59" s="173" t="s">
        <v>83</v>
      </c>
      <c r="AK59" s="173" t="s">
        <v>83</v>
      </c>
      <c r="AL59" s="141"/>
      <c r="AM59" s="188"/>
      <c r="AN59" s="188"/>
      <c r="AO59" s="188"/>
      <c r="AP59" s="188"/>
      <c r="AQ59" s="188"/>
      <c r="AR59" s="188"/>
      <c r="AS59" s="188"/>
      <c r="AT59" s="188"/>
      <c r="AU59" s="188"/>
      <c r="AV59" s="188"/>
      <c r="AW59" s="188"/>
      <c r="AX59" s="188"/>
      <c r="AY59" s="188"/>
      <c r="AZ59" s="188"/>
      <c r="BA59" s="188"/>
      <c r="BB59" s="188"/>
      <c r="BC59" s="188"/>
      <c r="BD59" s="188"/>
      <c r="BE59" s="188"/>
      <c r="BF59" s="188"/>
      <c r="BG59" s="188"/>
      <c r="BH59" s="188"/>
      <c r="BI59" s="188"/>
      <c r="BJ59" s="188"/>
      <c r="BK59" s="188"/>
      <c r="BL59" s="188"/>
      <c r="BM59" s="188"/>
      <c r="BN59" s="188"/>
      <c r="BO59" s="188"/>
      <c r="BP59" s="188"/>
    </row>
    <row r="60" spans="2:68" x14ac:dyDescent="0.15">
      <c r="B60" s="170">
        <v>9697</v>
      </c>
      <c r="C60" s="170" t="s">
        <v>494</v>
      </c>
      <c r="D60" s="170" t="s">
        <v>453</v>
      </c>
      <c r="E60" s="170" t="s">
        <v>454</v>
      </c>
      <c r="F60" s="170" t="s">
        <v>495</v>
      </c>
      <c r="G60" s="170" t="s">
        <v>222</v>
      </c>
      <c r="H60" s="170">
        <v>205</v>
      </c>
      <c r="I60" s="169"/>
      <c r="J60" s="170" t="s">
        <v>83</v>
      </c>
      <c r="K60" s="171" t="s">
        <v>83</v>
      </c>
      <c r="L60" s="171" t="s">
        <v>83</v>
      </c>
      <c r="M60" s="171" t="s">
        <v>83</v>
      </c>
      <c r="N60" s="171" t="s">
        <v>83</v>
      </c>
      <c r="O60" s="171" t="s">
        <v>83</v>
      </c>
      <c r="P60" s="171" t="s">
        <v>83</v>
      </c>
      <c r="Q60" s="171" t="s">
        <v>83</v>
      </c>
      <c r="R60" s="171" t="s">
        <v>83</v>
      </c>
      <c r="S60" s="171" t="s">
        <v>83</v>
      </c>
      <c r="T60" s="171" t="s">
        <v>83</v>
      </c>
      <c r="U60" s="171" t="s">
        <v>83</v>
      </c>
      <c r="V60" s="171" t="s">
        <v>83</v>
      </c>
      <c r="W60" s="171" t="s">
        <v>83</v>
      </c>
      <c r="X60" s="171" t="s">
        <v>83</v>
      </c>
      <c r="Y60" s="171" t="s">
        <v>83</v>
      </c>
      <c r="Z60" s="171" t="s">
        <v>83</v>
      </c>
      <c r="AA60" s="171" t="s">
        <v>83</v>
      </c>
      <c r="AB60" s="171" t="s">
        <v>83</v>
      </c>
      <c r="AC60" s="171" t="s">
        <v>83</v>
      </c>
      <c r="AD60" s="171" t="s">
        <v>83</v>
      </c>
      <c r="AE60" s="171" t="s">
        <v>83</v>
      </c>
      <c r="AF60" s="171" t="s">
        <v>83</v>
      </c>
      <c r="AG60" s="171" t="s">
        <v>83</v>
      </c>
      <c r="AH60" s="171" t="s">
        <v>83</v>
      </c>
      <c r="AI60" s="171" t="s">
        <v>83</v>
      </c>
      <c r="AJ60" s="171" t="s">
        <v>83</v>
      </c>
      <c r="AK60" s="171" t="s">
        <v>83</v>
      </c>
      <c r="AL60" s="141"/>
      <c r="AM60" s="188"/>
      <c r="AN60" s="188"/>
      <c r="AO60" s="188"/>
      <c r="AP60" s="188"/>
      <c r="AQ60" s="188"/>
      <c r="AR60" s="188"/>
      <c r="AS60" s="188"/>
      <c r="AT60" s="188"/>
      <c r="AU60" s="188"/>
      <c r="AV60" s="188"/>
      <c r="AW60" s="188"/>
      <c r="AX60" s="188"/>
      <c r="AY60" s="188"/>
      <c r="AZ60" s="188"/>
      <c r="BA60" s="188"/>
      <c r="BB60" s="188"/>
      <c r="BC60" s="188"/>
      <c r="BD60" s="188"/>
      <c r="BE60" s="188"/>
      <c r="BF60" s="188"/>
      <c r="BG60" s="188"/>
      <c r="BH60" s="188"/>
      <c r="BI60" s="188"/>
      <c r="BJ60" s="188"/>
      <c r="BK60" s="188"/>
      <c r="BL60" s="188"/>
      <c r="BM60" s="188"/>
      <c r="BN60" s="188"/>
      <c r="BO60" s="188"/>
      <c r="BP60" s="188"/>
    </row>
    <row r="61" spans="2:68" x14ac:dyDescent="0.15">
      <c r="B61" s="141">
        <v>25491</v>
      </c>
      <c r="C61" s="141" t="s">
        <v>496</v>
      </c>
      <c r="D61" s="141" t="s">
        <v>453</v>
      </c>
      <c r="E61" s="141" t="s">
        <v>454</v>
      </c>
      <c r="F61" s="141" t="s">
        <v>486</v>
      </c>
      <c r="G61" s="141"/>
      <c r="H61" s="141">
        <v>43</v>
      </c>
      <c r="I61" s="172"/>
      <c r="J61" s="141" t="s">
        <v>83</v>
      </c>
      <c r="K61" s="173" t="s">
        <v>83</v>
      </c>
      <c r="L61" s="173" t="s">
        <v>83</v>
      </c>
      <c r="M61" s="173" t="s">
        <v>83</v>
      </c>
      <c r="N61" s="173" t="s">
        <v>83</v>
      </c>
      <c r="O61" s="173" t="s">
        <v>83</v>
      </c>
      <c r="P61" s="173" t="s">
        <v>83</v>
      </c>
      <c r="Q61" s="173" t="s">
        <v>83</v>
      </c>
      <c r="R61" s="173" t="s">
        <v>83</v>
      </c>
      <c r="S61" s="173" t="s">
        <v>83</v>
      </c>
      <c r="T61" s="173" t="s">
        <v>83</v>
      </c>
      <c r="U61" s="173" t="s">
        <v>83</v>
      </c>
      <c r="V61" s="173" t="s">
        <v>83</v>
      </c>
      <c r="W61" s="173" t="s">
        <v>83</v>
      </c>
      <c r="X61" s="173" t="s">
        <v>83</v>
      </c>
      <c r="Y61" s="173" t="s">
        <v>83</v>
      </c>
      <c r="Z61" s="173" t="s">
        <v>83</v>
      </c>
      <c r="AA61" s="173" t="s">
        <v>83</v>
      </c>
      <c r="AB61" s="173" t="s">
        <v>83</v>
      </c>
      <c r="AC61" s="173" t="s">
        <v>83</v>
      </c>
      <c r="AD61" s="173" t="s">
        <v>83</v>
      </c>
      <c r="AE61" s="173" t="s">
        <v>83</v>
      </c>
      <c r="AF61" s="173" t="s">
        <v>83</v>
      </c>
      <c r="AG61" s="173" t="s">
        <v>83</v>
      </c>
      <c r="AH61" s="173" t="s">
        <v>83</v>
      </c>
      <c r="AI61" s="173" t="s">
        <v>83</v>
      </c>
      <c r="AJ61" s="173" t="s">
        <v>83</v>
      </c>
      <c r="AK61" s="173" t="s">
        <v>83</v>
      </c>
      <c r="AL61" s="141"/>
      <c r="AM61" s="188"/>
      <c r="AN61" s="188"/>
      <c r="AO61" s="188"/>
      <c r="AP61" s="188"/>
      <c r="AQ61" s="188"/>
      <c r="AR61" s="188"/>
      <c r="AS61" s="188"/>
      <c r="AT61" s="188"/>
      <c r="AU61" s="188"/>
      <c r="AV61" s="188"/>
      <c r="AW61" s="188"/>
      <c r="AX61" s="188"/>
      <c r="AY61" s="188"/>
      <c r="AZ61" s="188"/>
      <c r="BA61" s="188"/>
      <c r="BB61" s="188"/>
      <c r="BC61" s="188"/>
      <c r="BD61" s="188"/>
      <c r="BE61" s="188"/>
      <c r="BF61" s="188"/>
      <c r="BG61" s="188"/>
      <c r="BH61" s="188"/>
      <c r="BI61" s="188"/>
      <c r="BJ61" s="188"/>
      <c r="BK61" s="188"/>
      <c r="BL61" s="188"/>
      <c r="BM61" s="188"/>
      <c r="BN61" s="188"/>
      <c r="BO61" s="188"/>
      <c r="BP61" s="188"/>
    </row>
    <row r="62" spans="2:68" x14ac:dyDescent="0.15">
      <c r="B62" s="170">
        <v>62032</v>
      </c>
      <c r="C62" s="170" t="s">
        <v>497</v>
      </c>
      <c r="D62" s="170" t="s">
        <v>453</v>
      </c>
      <c r="E62" s="170" t="s">
        <v>454</v>
      </c>
      <c r="F62" s="170" t="s">
        <v>498</v>
      </c>
      <c r="G62" s="170" t="s">
        <v>151</v>
      </c>
      <c r="H62" s="170">
        <v>15</v>
      </c>
      <c r="I62" s="169"/>
      <c r="J62" s="170"/>
      <c r="K62" s="171"/>
      <c r="L62" s="171"/>
      <c r="M62" s="171"/>
      <c r="N62" s="171"/>
      <c r="O62" s="171"/>
      <c r="P62" s="171"/>
      <c r="Q62" s="171"/>
      <c r="R62" s="171"/>
      <c r="S62" s="171"/>
      <c r="T62" s="171"/>
      <c r="U62" s="171"/>
      <c r="V62" s="171"/>
      <c r="W62" s="171"/>
      <c r="X62" s="171"/>
      <c r="Y62" s="171"/>
      <c r="Z62" s="171"/>
      <c r="AA62" s="171"/>
      <c r="AB62" s="171"/>
      <c r="AC62" s="171"/>
      <c r="AD62" s="171"/>
      <c r="AE62" s="171"/>
      <c r="AF62" s="171"/>
      <c r="AG62" s="171"/>
      <c r="AH62" s="171"/>
      <c r="AI62" s="171"/>
      <c r="AJ62" s="171"/>
      <c r="AK62" s="171"/>
      <c r="AL62" s="141"/>
      <c r="AM62" s="188"/>
      <c r="AN62" s="188"/>
      <c r="AO62" s="188"/>
      <c r="AP62" s="188"/>
      <c r="AQ62" s="188"/>
      <c r="AR62" s="188"/>
      <c r="AS62" s="188"/>
      <c r="AT62" s="188"/>
      <c r="AU62" s="188"/>
      <c r="AV62" s="188"/>
      <c r="AW62" s="188"/>
      <c r="AX62" s="188"/>
      <c r="AY62" s="188"/>
      <c r="AZ62" s="188"/>
      <c r="BA62" s="188"/>
      <c r="BB62" s="188"/>
      <c r="BC62" s="188"/>
      <c r="BD62" s="188"/>
      <c r="BE62" s="188"/>
      <c r="BF62" s="188"/>
      <c r="BG62" s="188"/>
      <c r="BH62" s="188"/>
      <c r="BI62" s="188"/>
      <c r="BJ62" s="188"/>
      <c r="BK62" s="188"/>
      <c r="BL62" s="188"/>
      <c r="BM62" s="188"/>
      <c r="BN62" s="188"/>
      <c r="BO62" s="188"/>
      <c r="BP62" s="188"/>
    </row>
    <row r="63" spans="2:68" x14ac:dyDescent="0.15">
      <c r="B63" s="141">
        <v>18193</v>
      </c>
      <c r="C63" s="141" t="s">
        <v>499</v>
      </c>
      <c r="D63" s="141" t="s">
        <v>453</v>
      </c>
      <c r="E63" s="141" t="s">
        <v>454</v>
      </c>
      <c r="F63" s="141" t="s">
        <v>201</v>
      </c>
      <c r="G63" s="141" t="s">
        <v>287</v>
      </c>
      <c r="H63" s="141">
        <v>94</v>
      </c>
      <c r="I63" s="172"/>
      <c r="J63" s="141" t="s">
        <v>83</v>
      </c>
      <c r="K63" s="173" t="s">
        <v>83</v>
      </c>
      <c r="L63" s="173" t="s">
        <v>83</v>
      </c>
      <c r="M63" s="173" t="s">
        <v>83</v>
      </c>
      <c r="N63" s="173" t="s">
        <v>83</v>
      </c>
      <c r="O63" s="173" t="s">
        <v>83</v>
      </c>
      <c r="P63" s="173" t="s">
        <v>83</v>
      </c>
      <c r="Q63" s="173" t="s">
        <v>83</v>
      </c>
      <c r="R63" s="173" t="s">
        <v>83</v>
      </c>
      <c r="S63" s="173" t="s">
        <v>83</v>
      </c>
      <c r="T63" s="173" t="s">
        <v>83</v>
      </c>
      <c r="U63" s="173" t="s">
        <v>83</v>
      </c>
      <c r="V63" s="173" t="s">
        <v>83</v>
      </c>
      <c r="W63" s="173" t="s">
        <v>83</v>
      </c>
      <c r="X63" s="173" t="s">
        <v>83</v>
      </c>
      <c r="Y63" s="173" t="s">
        <v>83</v>
      </c>
      <c r="Z63" s="173" t="s">
        <v>83</v>
      </c>
      <c r="AA63" s="173" t="s">
        <v>83</v>
      </c>
      <c r="AB63" s="173" t="s">
        <v>83</v>
      </c>
      <c r="AC63" s="173" t="s">
        <v>83</v>
      </c>
      <c r="AD63" s="173" t="s">
        <v>83</v>
      </c>
      <c r="AE63" s="173" t="s">
        <v>83</v>
      </c>
      <c r="AF63" s="173" t="s">
        <v>83</v>
      </c>
      <c r="AG63" s="173" t="s">
        <v>83</v>
      </c>
      <c r="AH63" s="173" t="s">
        <v>83</v>
      </c>
      <c r="AI63" s="173" t="s">
        <v>83</v>
      </c>
      <c r="AJ63" s="173" t="s">
        <v>83</v>
      </c>
      <c r="AK63" s="173" t="s">
        <v>83</v>
      </c>
      <c r="AL63" s="141"/>
      <c r="AM63" s="188"/>
      <c r="AN63" s="188"/>
      <c r="AO63" s="188"/>
      <c r="AP63" s="188"/>
      <c r="AQ63" s="188"/>
      <c r="AR63" s="188"/>
      <c r="AS63" s="188"/>
      <c r="AT63" s="188"/>
      <c r="AU63" s="188"/>
      <c r="AV63" s="188"/>
      <c r="AW63" s="188"/>
      <c r="AX63" s="188"/>
      <c r="AY63" s="188"/>
      <c r="AZ63" s="188"/>
      <c r="BA63" s="188"/>
      <c r="BB63" s="188"/>
      <c r="BC63" s="188"/>
      <c r="BD63" s="188"/>
      <c r="BE63" s="188"/>
      <c r="BF63" s="188"/>
      <c r="BG63" s="188"/>
      <c r="BH63" s="188"/>
      <c r="BI63" s="188"/>
      <c r="BJ63" s="188"/>
      <c r="BK63" s="188"/>
      <c r="BL63" s="188"/>
      <c r="BM63" s="188"/>
      <c r="BN63" s="188"/>
      <c r="BO63" s="188"/>
      <c r="BP63" s="188"/>
    </row>
    <row r="64" spans="2:68" x14ac:dyDescent="0.15">
      <c r="B64" s="170">
        <v>21471</v>
      </c>
      <c r="C64" s="170" t="s">
        <v>500</v>
      </c>
      <c r="D64" s="170" t="s">
        <v>453</v>
      </c>
      <c r="E64" s="170" t="s">
        <v>454</v>
      </c>
      <c r="F64" s="170" t="s">
        <v>501</v>
      </c>
      <c r="G64" s="170" t="s">
        <v>501</v>
      </c>
      <c r="H64" s="170">
        <v>106</v>
      </c>
      <c r="I64" s="169"/>
      <c r="J64" s="170" t="s">
        <v>83</v>
      </c>
      <c r="K64" s="171" t="s">
        <v>83</v>
      </c>
      <c r="L64" s="171" t="s">
        <v>83</v>
      </c>
      <c r="M64" s="171" t="s">
        <v>83</v>
      </c>
      <c r="N64" s="171" t="s">
        <v>83</v>
      </c>
      <c r="O64" s="171" t="s">
        <v>83</v>
      </c>
      <c r="P64" s="171" t="s">
        <v>83</v>
      </c>
      <c r="Q64" s="171" t="s">
        <v>83</v>
      </c>
      <c r="R64" s="171" t="s">
        <v>83</v>
      </c>
      <c r="S64" s="171" t="s">
        <v>83</v>
      </c>
      <c r="T64" s="171" t="s">
        <v>83</v>
      </c>
      <c r="U64" s="171" t="s">
        <v>83</v>
      </c>
      <c r="V64" s="171" t="s">
        <v>83</v>
      </c>
      <c r="W64" s="171" t="s">
        <v>83</v>
      </c>
      <c r="X64" s="171" t="s">
        <v>83</v>
      </c>
      <c r="Y64" s="171" t="s">
        <v>83</v>
      </c>
      <c r="Z64" s="171" t="s">
        <v>83</v>
      </c>
      <c r="AA64" s="171" t="s">
        <v>83</v>
      </c>
      <c r="AB64" s="171" t="s">
        <v>83</v>
      </c>
      <c r="AC64" s="171" t="s">
        <v>83</v>
      </c>
      <c r="AD64" s="171" t="s">
        <v>83</v>
      </c>
      <c r="AE64" s="171" t="s">
        <v>83</v>
      </c>
      <c r="AF64" s="171" t="s">
        <v>83</v>
      </c>
      <c r="AG64" s="171" t="s">
        <v>83</v>
      </c>
      <c r="AH64" s="171" t="s">
        <v>83</v>
      </c>
      <c r="AI64" s="171" t="s">
        <v>83</v>
      </c>
      <c r="AJ64" s="171" t="s">
        <v>83</v>
      </c>
      <c r="AK64" s="171" t="s">
        <v>83</v>
      </c>
      <c r="AL64" s="141"/>
      <c r="AM64" s="188"/>
      <c r="AN64" s="188"/>
      <c r="AO64" s="188"/>
      <c r="AP64" s="188"/>
      <c r="AQ64" s="188"/>
      <c r="AR64" s="188"/>
      <c r="AS64" s="188"/>
      <c r="AT64" s="188"/>
      <c r="AU64" s="188"/>
      <c r="AV64" s="188"/>
      <c r="AW64" s="188"/>
      <c r="AX64" s="188"/>
      <c r="AY64" s="188"/>
      <c r="AZ64" s="188"/>
      <c r="BA64" s="188"/>
      <c r="BB64" s="188"/>
      <c r="BC64" s="188"/>
      <c r="BD64" s="188"/>
      <c r="BE64" s="188"/>
      <c r="BF64" s="188"/>
      <c r="BG64" s="188"/>
      <c r="BH64" s="188"/>
      <c r="BI64" s="188"/>
      <c r="BJ64" s="188"/>
      <c r="BK64" s="188"/>
      <c r="BL64" s="188"/>
      <c r="BM64" s="188"/>
      <c r="BN64" s="188"/>
      <c r="BO64" s="188"/>
      <c r="BP64" s="188"/>
    </row>
    <row r="65" spans="2:68" x14ac:dyDescent="0.15">
      <c r="B65" s="141">
        <v>5765</v>
      </c>
      <c r="C65" s="141" t="s">
        <v>502</v>
      </c>
      <c r="D65" s="141" t="s">
        <v>453</v>
      </c>
      <c r="E65" s="141" t="s">
        <v>454</v>
      </c>
      <c r="F65" s="141" t="s">
        <v>503</v>
      </c>
      <c r="G65" s="141" t="s">
        <v>188</v>
      </c>
      <c r="H65" s="141">
        <v>560</v>
      </c>
      <c r="I65" s="172"/>
      <c r="J65" s="141" t="s">
        <v>83</v>
      </c>
      <c r="K65" s="173" t="s">
        <v>83</v>
      </c>
      <c r="L65" s="173" t="s">
        <v>83</v>
      </c>
      <c r="M65" s="173" t="s">
        <v>83</v>
      </c>
      <c r="N65" s="173" t="s">
        <v>83</v>
      </c>
      <c r="O65" s="173" t="s">
        <v>83</v>
      </c>
      <c r="P65" s="173" t="s">
        <v>83</v>
      </c>
      <c r="Q65" s="173" t="s">
        <v>83</v>
      </c>
      <c r="R65" s="173" t="s">
        <v>83</v>
      </c>
      <c r="S65" s="173" t="s">
        <v>83</v>
      </c>
      <c r="T65" s="173" t="s">
        <v>83</v>
      </c>
      <c r="U65" s="173" t="s">
        <v>83</v>
      </c>
      <c r="V65" s="173" t="s">
        <v>83</v>
      </c>
      <c r="W65" s="173" t="s">
        <v>83</v>
      </c>
      <c r="X65" s="173" t="s">
        <v>83</v>
      </c>
      <c r="Y65" s="173" t="s">
        <v>83</v>
      </c>
      <c r="Z65" s="173" t="s">
        <v>83</v>
      </c>
      <c r="AA65" s="173" t="s">
        <v>83</v>
      </c>
      <c r="AB65" s="173" t="s">
        <v>83</v>
      </c>
      <c r="AC65" s="173" t="s">
        <v>83</v>
      </c>
      <c r="AD65" s="173" t="s">
        <v>83</v>
      </c>
      <c r="AE65" s="173" t="s">
        <v>83</v>
      </c>
      <c r="AF65" s="173" t="s">
        <v>83</v>
      </c>
      <c r="AG65" s="173" t="s">
        <v>83</v>
      </c>
      <c r="AH65" s="173" t="s">
        <v>83</v>
      </c>
      <c r="AI65" s="173" t="s">
        <v>83</v>
      </c>
      <c r="AJ65" s="173" t="s">
        <v>83</v>
      </c>
      <c r="AK65" s="173" t="s">
        <v>83</v>
      </c>
      <c r="AL65" s="141"/>
      <c r="AM65" s="188"/>
      <c r="AN65" s="188"/>
      <c r="AO65" s="188"/>
      <c r="AP65" s="188"/>
      <c r="AQ65" s="188"/>
      <c r="AR65" s="188"/>
      <c r="AS65" s="188"/>
      <c r="AT65" s="188"/>
      <c r="AU65" s="188"/>
      <c r="AV65" s="188"/>
      <c r="AW65" s="188"/>
      <c r="AX65" s="188"/>
      <c r="AY65" s="188"/>
      <c r="AZ65" s="188"/>
      <c r="BA65" s="188"/>
      <c r="BB65" s="188"/>
      <c r="BC65" s="188"/>
      <c r="BD65" s="188"/>
      <c r="BE65" s="188"/>
      <c r="BF65" s="188"/>
      <c r="BG65" s="188"/>
      <c r="BH65" s="188"/>
      <c r="BI65" s="188"/>
      <c r="BJ65" s="188"/>
      <c r="BK65" s="188"/>
      <c r="BL65" s="188"/>
      <c r="BM65" s="188"/>
      <c r="BN65" s="188"/>
      <c r="BO65" s="188"/>
      <c r="BP65" s="188"/>
    </row>
    <row r="66" spans="2:68" x14ac:dyDescent="0.15">
      <c r="B66" s="170">
        <v>25634</v>
      </c>
      <c r="C66" s="170" t="s">
        <v>504</v>
      </c>
      <c r="D66" s="170" t="s">
        <v>453</v>
      </c>
      <c r="E66" s="170" t="s">
        <v>454</v>
      </c>
      <c r="F66" s="170" t="s">
        <v>188</v>
      </c>
      <c r="G66" s="170" t="s">
        <v>188</v>
      </c>
      <c r="H66" s="170">
        <v>26</v>
      </c>
      <c r="I66" s="169"/>
      <c r="J66" s="170"/>
      <c r="K66" s="171"/>
      <c r="L66" s="171"/>
      <c r="M66" s="171"/>
      <c r="N66" s="171"/>
      <c r="O66" s="171"/>
      <c r="P66" s="171"/>
      <c r="Q66" s="171"/>
      <c r="R66" s="171"/>
      <c r="S66" s="171"/>
      <c r="T66" s="171"/>
      <c r="U66" s="171"/>
      <c r="V66" s="171"/>
      <c r="W66" s="171"/>
      <c r="X66" s="171"/>
      <c r="Y66" s="171"/>
      <c r="Z66" s="171"/>
      <c r="AA66" s="171"/>
      <c r="AB66" s="171"/>
      <c r="AC66" s="171"/>
      <c r="AD66" s="171"/>
      <c r="AE66" s="171"/>
      <c r="AF66" s="171"/>
      <c r="AG66" s="171"/>
      <c r="AH66" s="171"/>
      <c r="AI66" s="171"/>
      <c r="AJ66" s="171"/>
      <c r="AK66" s="171"/>
      <c r="AL66" s="141"/>
      <c r="AM66" s="188"/>
      <c r="AN66" s="188"/>
      <c r="AO66" s="188"/>
      <c r="AP66" s="188"/>
      <c r="AQ66" s="188"/>
      <c r="AR66" s="188"/>
      <c r="AS66" s="188"/>
      <c r="AT66" s="188"/>
      <c r="AU66" s="188"/>
      <c r="AV66" s="188"/>
      <c r="AW66" s="188"/>
      <c r="AX66" s="188"/>
      <c r="AY66" s="188"/>
      <c r="AZ66" s="188"/>
      <c r="BA66" s="188"/>
      <c r="BB66" s="188"/>
      <c r="BC66" s="188"/>
      <c r="BD66" s="188"/>
      <c r="BE66" s="188"/>
      <c r="BF66" s="188"/>
      <c r="BG66" s="188"/>
      <c r="BH66" s="188"/>
      <c r="BI66" s="188"/>
      <c r="BJ66" s="188"/>
      <c r="BK66" s="188"/>
      <c r="BL66" s="188"/>
      <c r="BM66" s="188"/>
      <c r="BN66" s="188"/>
      <c r="BO66" s="188"/>
      <c r="BP66" s="188"/>
    </row>
    <row r="67" spans="2:68" x14ac:dyDescent="0.15">
      <c r="B67" s="141">
        <v>57467</v>
      </c>
      <c r="C67" s="141" t="s">
        <v>505</v>
      </c>
      <c r="D67" s="141" t="s">
        <v>453</v>
      </c>
      <c r="E67" s="141" t="s">
        <v>454</v>
      </c>
      <c r="F67" s="141" t="s">
        <v>165</v>
      </c>
      <c r="G67" s="141" t="s">
        <v>506</v>
      </c>
      <c r="H67" s="141">
        <v>208</v>
      </c>
      <c r="I67" s="172"/>
      <c r="J67" s="141" t="s">
        <v>83</v>
      </c>
      <c r="K67" s="173" t="s">
        <v>83</v>
      </c>
      <c r="L67" s="173" t="s">
        <v>83</v>
      </c>
      <c r="M67" s="173" t="s">
        <v>83</v>
      </c>
      <c r="N67" s="173" t="s">
        <v>83</v>
      </c>
      <c r="O67" s="173" t="s">
        <v>83</v>
      </c>
      <c r="P67" s="173" t="s">
        <v>83</v>
      </c>
      <c r="Q67" s="173" t="s">
        <v>83</v>
      </c>
      <c r="R67" s="173" t="s">
        <v>83</v>
      </c>
      <c r="S67" s="173" t="s">
        <v>83</v>
      </c>
      <c r="T67" s="173" t="s">
        <v>83</v>
      </c>
      <c r="U67" s="173" t="s">
        <v>83</v>
      </c>
      <c r="V67" s="173" t="s">
        <v>83</v>
      </c>
      <c r="W67" s="173" t="s">
        <v>83</v>
      </c>
      <c r="X67" s="173" t="s">
        <v>83</v>
      </c>
      <c r="Y67" s="173" t="s">
        <v>83</v>
      </c>
      <c r="Z67" s="173" t="s">
        <v>83</v>
      </c>
      <c r="AA67" s="173" t="s">
        <v>83</v>
      </c>
      <c r="AB67" s="173" t="s">
        <v>83</v>
      </c>
      <c r="AC67" s="173" t="s">
        <v>83</v>
      </c>
      <c r="AD67" s="173" t="s">
        <v>83</v>
      </c>
      <c r="AE67" s="173" t="s">
        <v>83</v>
      </c>
      <c r="AF67" s="173" t="s">
        <v>83</v>
      </c>
      <c r="AG67" s="173" t="s">
        <v>83</v>
      </c>
      <c r="AH67" s="173" t="s">
        <v>83</v>
      </c>
      <c r="AI67" s="173" t="s">
        <v>83</v>
      </c>
      <c r="AJ67" s="173" t="s">
        <v>83</v>
      </c>
      <c r="AK67" s="173" t="s">
        <v>83</v>
      </c>
      <c r="AL67" s="141"/>
      <c r="AM67" s="188"/>
      <c r="AN67" s="188"/>
      <c r="AO67" s="188"/>
      <c r="AP67" s="188"/>
      <c r="AQ67" s="188"/>
      <c r="AR67" s="188"/>
      <c r="AS67" s="188"/>
      <c r="AT67" s="188"/>
      <c r="AU67" s="188"/>
      <c r="AV67" s="188"/>
      <c r="AW67" s="188"/>
      <c r="AX67" s="188"/>
      <c r="AY67" s="188"/>
      <c r="AZ67" s="188"/>
      <c r="BA67" s="188"/>
      <c r="BB67" s="188"/>
      <c r="BC67" s="188"/>
      <c r="BD67" s="188"/>
      <c r="BE67" s="188"/>
      <c r="BF67" s="188"/>
      <c r="BG67" s="188"/>
      <c r="BH67" s="188"/>
      <c r="BI67" s="188"/>
      <c r="BJ67" s="188"/>
      <c r="BK67" s="188"/>
      <c r="BL67" s="188"/>
      <c r="BM67" s="188"/>
      <c r="BN67" s="188"/>
      <c r="BO67" s="188"/>
      <c r="BP67" s="188"/>
    </row>
    <row r="68" spans="2:68" x14ac:dyDescent="0.15">
      <c r="B68" s="170">
        <v>11698</v>
      </c>
      <c r="C68" s="170" t="s">
        <v>507</v>
      </c>
      <c r="D68" s="170" t="s">
        <v>453</v>
      </c>
      <c r="E68" s="170" t="s">
        <v>454</v>
      </c>
      <c r="F68" s="170" t="s">
        <v>172</v>
      </c>
      <c r="G68" s="170" t="s">
        <v>172</v>
      </c>
      <c r="H68" s="170">
        <v>46</v>
      </c>
      <c r="I68" s="169"/>
      <c r="J68" s="170"/>
      <c r="K68" s="171"/>
      <c r="L68" s="171"/>
      <c r="M68" s="171"/>
      <c r="N68" s="171"/>
      <c r="O68" s="171"/>
      <c r="P68" s="171"/>
      <c r="Q68" s="171"/>
      <c r="R68" s="171"/>
      <c r="S68" s="171"/>
      <c r="T68" s="171"/>
      <c r="U68" s="171"/>
      <c r="V68" s="171"/>
      <c r="W68" s="171"/>
      <c r="X68" s="171"/>
      <c r="Y68" s="171"/>
      <c r="Z68" s="171"/>
      <c r="AA68" s="171"/>
      <c r="AB68" s="171"/>
      <c r="AC68" s="171"/>
      <c r="AD68" s="171"/>
      <c r="AE68" s="171"/>
      <c r="AF68" s="171"/>
      <c r="AG68" s="171"/>
      <c r="AH68" s="171"/>
      <c r="AI68" s="171"/>
      <c r="AJ68" s="171"/>
      <c r="AK68" s="171"/>
      <c r="AL68" s="141"/>
      <c r="AM68" s="188"/>
      <c r="AN68" s="188"/>
      <c r="AO68" s="188"/>
      <c r="AP68" s="188"/>
      <c r="AQ68" s="188"/>
      <c r="AR68" s="188"/>
      <c r="AS68" s="188"/>
      <c r="AT68" s="188"/>
      <c r="AU68" s="188"/>
      <c r="AV68" s="188"/>
      <c r="AW68" s="188"/>
      <c r="AX68" s="188"/>
      <c r="AY68" s="188"/>
      <c r="AZ68" s="188"/>
      <c r="BA68" s="188"/>
      <c r="BB68" s="188"/>
      <c r="BC68" s="188"/>
      <c r="BD68" s="188"/>
      <c r="BE68" s="188"/>
      <c r="BF68" s="188"/>
      <c r="BG68" s="188"/>
      <c r="BH68" s="188"/>
      <c r="BI68" s="188"/>
      <c r="BJ68" s="188"/>
      <c r="BK68" s="188"/>
      <c r="BL68" s="188"/>
      <c r="BM68" s="188"/>
      <c r="BN68" s="188"/>
      <c r="BO68" s="188"/>
      <c r="BP68" s="188"/>
    </row>
    <row r="69" spans="2:68" x14ac:dyDescent="0.15">
      <c r="B69" s="141">
        <v>18199</v>
      </c>
      <c r="C69" s="141" t="s">
        <v>508</v>
      </c>
      <c r="D69" s="141" t="s">
        <v>453</v>
      </c>
      <c r="E69" s="141" t="s">
        <v>454</v>
      </c>
      <c r="F69" s="141" t="s">
        <v>165</v>
      </c>
      <c r="G69" s="141" t="s">
        <v>110</v>
      </c>
      <c r="H69" s="141">
        <v>50</v>
      </c>
      <c r="I69" s="172"/>
      <c r="J69" s="141" t="s">
        <v>83</v>
      </c>
      <c r="K69" s="173" t="s">
        <v>83</v>
      </c>
      <c r="L69" s="173" t="s">
        <v>83</v>
      </c>
      <c r="M69" s="173" t="s">
        <v>83</v>
      </c>
      <c r="N69" s="173" t="s">
        <v>83</v>
      </c>
      <c r="O69" s="173" t="s">
        <v>83</v>
      </c>
      <c r="P69" s="173" t="s">
        <v>83</v>
      </c>
      <c r="Q69" s="173" t="s">
        <v>83</v>
      </c>
      <c r="R69" s="173" t="s">
        <v>83</v>
      </c>
      <c r="S69" s="173" t="s">
        <v>83</v>
      </c>
      <c r="T69" s="173" t="s">
        <v>83</v>
      </c>
      <c r="U69" s="173" t="s">
        <v>83</v>
      </c>
      <c r="V69" s="173" t="s">
        <v>83</v>
      </c>
      <c r="W69" s="173" t="s">
        <v>83</v>
      </c>
      <c r="X69" s="173" t="s">
        <v>83</v>
      </c>
      <c r="Y69" s="173" t="s">
        <v>83</v>
      </c>
      <c r="Z69" s="173" t="s">
        <v>83</v>
      </c>
      <c r="AA69" s="173" t="s">
        <v>83</v>
      </c>
      <c r="AB69" s="173" t="s">
        <v>83</v>
      </c>
      <c r="AC69" s="173" t="s">
        <v>83</v>
      </c>
      <c r="AD69" s="173" t="s">
        <v>83</v>
      </c>
      <c r="AE69" s="173" t="s">
        <v>83</v>
      </c>
      <c r="AF69" s="173" t="s">
        <v>83</v>
      </c>
      <c r="AG69" s="173" t="s">
        <v>83</v>
      </c>
      <c r="AH69" s="173" t="s">
        <v>83</v>
      </c>
      <c r="AI69" s="173" t="s">
        <v>83</v>
      </c>
      <c r="AJ69" s="173" t="s">
        <v>83</v>
      </c>
      <c r="AK69" s="173" t="s">
        <v>83</v>
      </c>
      <c r="AL69" s="141"/>
      <c r="AM69" s="188"/>
      <c r="AN69" s="188"/>
      <c r="AO69" s="188"/>
      <c r="AP69" s="188"/>
      <c r="AQ69" s="188"/>
      <c r="AR69" s="188"/>
      <c r="AS69" s="188"/>
      <c r="AT69" s="188"/>
      <c r="AU69" s="188"/>
      <c r="AV69" s="188"/>
      <c r="AW69" s="188"/>
      <c r="AX69" s="188"/>
      <c r="AY69" s="188"/>
      <c r="AZ69" s="188"/>
      <c r="BA69" s="188"/>
      <c r="BB69" s="188"/>
      <c r="BC69" s="188"/>
      <c r="BD69" s="188"/>
      <c r="BE69" s="188"/>
      <c r="BF69" s="188"/>
      <c r="BG69" s="188"/>
      <c r="BH69" s="188"/>
      <c r="BI69" s="188"/>
      <c r="BJ69" s="188"/>
      <c r="BK69" s="188"/>
      <c r="BL69" s="188"/>
      <c r="BM69" s="188"/>
      <c r="BN69" s="188"/>
      <c r="BO69" s="188"/>
      <c r="BP69" s="188"/>
    </row>
    <row r="70" spans="2:68" x14ac:dyDescent="0.15">
      <c r="B70" s="170">
        <v>18201</v>
      </c>
      <c r="C70" s="170" t="s">
        <v>509</v>
      </c>
      <c r="D70" s="170" t="s">
        <v>453</v>
      </c>
      <c r="E70" s="170" t="s">
        <v>454</v>
      </c>
      <c r="F70" s="170" t="s">
        <v>479</v>
      </c>
      <c r="G70" s="170" t="s">
        <v>479</v>
      </c>
      <c r="H70" s="170">
        <v>25</v>
      </c>
      <c r="I70" s="169"/>
      <c r="J70" s="170"/>
      <c r="K70" s="171"/>
      <c r="L70" s="171"/>
      <c r="M70" s="171"/>
      <c r="N70" s="171"/>
      <c r="O70" s="171"/>
      <c r="P70" s="171"/>
      <c r="Q70" s="171"/>
      <c r="R70" s="171"/>
      <c r="S70" s="171"/>
      <c r="T70" s="171"/>
      <c r="U70" s="171"/>
      <c r="V70" s="171"/>
      <c r="W70" s="171"/>
      <c r="X70" s="171"/>
      <c r="Y70" s="171"/>
      <c r="Z70" s="171"/>
      <c r="AA70" s="171"/>
      <c r="AB70" s="171"/>
      <c r="AC70" s="171"/>
      <c r="AD70" s="171"/>
      <c r="AE70" s="171"/>
      <c r="AF70" s="171"/>
      <c r="AG70" s="171"/>
      <c r="AH70" s="171"/>
      <c r="AI70" s="171"/>
      <c r="AJ70" s="171"/>
      <c r="AK70" s="171"/>
      <c r="AL70" s="141"/>
      <c r="AM70" s="188"/>
      <c r="AN70" s="188"/>
      <c r="AO70" s="188"/>
      <c r="AP70" s="188"/>
      <c r="AQ70" s="188"/>
      <c r="AR70" s="188"/>
      <c r="AS70" s="188"/>
      <c r="AT70" s="188"/>
      <c r="AU70" s="188"/>
      <c r="AV70" s="188"/>
      <c r="AW70" s="188"/>
      <c r="AX70" s="188"/>
      <c r="AY70" s="188"/>
      <c r="AZ70" s="188"/>
      <c r="BA70" s="188"/>
      <c r="BB70" s="188"/>
      <c r="BC70" s="188"/>
      <c r="BD70" s="188"/>
      <c r="BE70" s="188"/>
      <c r="BF70" s="188"/>
      <c r="BG70" s="188"/>
      <c r="BH70" s="188"/>
      <c r="BI70" s="188"/>
      <c r="BJ70" s="188"/>
      <c r="BK70" s="188"/>
      <c r="BL70" s="188"/>
      <c r="BM70" s="188"/>
      <c r="BN70" s="188"/>
      <c r="BO70" s="188"/>
      <c r="BP70" s="188"/>
    </row>
    <row r="71" spans="2:68" x14ac:dyDescent="0.15">
      <c r="B71" s="141">
        <v>18202</v>
      </c>
      <c r="C71" s="141" t="s">
        <v>510</v>
      </c>
      <c r="D71" s="141" t="s">
        <v>453</v>
      </c>
      <c r="E71" s="141" t="s">
        <v>454</v>
      </c>
      <c r="F71" s="141" t="s">
        <v>82</v>
      </c>
      <c r="G71" s="141" t="s">
        <v>82</v>
      </c>
      <c r="H71" s="141">
        <v>49</v>
      </c>
      <c r="I71" s="172"/>
      <c r="J71" s="141" t="s">
        <v>83</v>
      </c>
      <c r="K71" s="173" t="s">
        <v>83</v>
      </c>
      <c r="L71" s="173" t="s">
        <v>83</v>
      </c>
      <c r="M71" s="173" t="s">
        <v>83</v>
      </c>
      <c r="N71" s="173" t="s">
        <v>83</v>
      </c>
      <c r="O71" s="173" t="s">
        <v>83</v>
      </c>
      <c r="P71" s="173" t="s">
        <v>83</v>
      </c>
      <c r="Q71" s="173" t="s">
        <v>83</v>
      </c>
      <c r="R71" s="173" t="s">
        <v>83</v>
      </c>
      <c r="S71" s="173" t="s">
        <v>83</v>
      </c>
      <c r="T71" s="173" t="s">
        <v>83</v>
      </c>
      <c r="U71" s="173" t="s">
        <v>83</v>
      </c>
      <c r="V71" s="173" t="s">
        <v>83</v>
      </c>
      <c r="W71" s="173" t="s">
        <v>83</v>
      </c>
      <c r="X71" s="173" t="s">
        <v>83</v>
      </c>
      <c r="Y71" s="173" t="s">
        <v>83</v>
      </c>
      <c r="Z71" s="173" t="s">
        <v>83</v>
      </c>
      <c r="AA71" s="173" t="s">
        <v>83</v>
      </c>
      <c r="AB71" s="173" t="s">
        <v>83</v>
      </c>
      <c r="AC71" s="173" t="s">
        <v>83</v>
      </c>
      <c r="AD71" s="173" t="s">
        <v>83</v>
      </c>
      <c r="AE71" s="173" t="s">
        <v>83</v>
      </c>
      <c r="AF71" s="173" t="s">
        <v>83</v>
      </c>
      <c r="AG71" s="173" t="s">
        <v>83</v>
      </c>
      <c r="AH71" s="173" t="s">
        <v>83</v>
      </c>
      <c r="AI71" s="173" t="s">
        <v>83</v>
      </c>
      <c r="AJ71" s="173" t="s">
        <v>83</v>
      </c>
      <c r="AK71" s="173" t="s">
        <v>83</v>
      </c>
      <c r="AL71" s="141"/>
      <c r="AM71" s="188"/>
      <c r="AN71" s="188"/>
      <c r="AO71" s="188"/>
      <c r="AP71" s="188"/>
      <c r="AQ71" s="188"/>
      <c r="AR71" s="188"/>
      <c r="AS71" s="188"/>
      <c r="AT71" s="188"/>
      <c r="AU71" s="188"/>
      <c r="AV71" s="188"/>
      <c r="AW71" s="188"/>
      <c r="AX71" s="188"/>
      <c r="AY71" s="188"/>
      <c r="AZ71" s="188"/>
      <c r="BA71" s="188"/>
      <c r="BB71" s="188"/>
      <c r="BC71" s="188"/>
      <c r="BD71" s="188"/>
      <c r="BE71" s="188"/>
      <c r="BF71" s="188"/>
      <c r="BG71" s="188"/>
      <c r="BH71" s="188"/>
      <c r="BI71" s="188"/>
      <c r="BJ71" s="188"/>
      <c r="BK71" s="188"/>
      <c r="BL71" s="188"/>
      <c r="BM71" s="188"/>
      <c r="BN71" s="188"/>
      <c r="BO71" s="188"/>
      <c r="BP71" s="188"/>
    </row>
    <row r="72" spans="2:68" x14ac:dyDescent="0.15">
      <c r="B72" s="170">
        <v>18203</v>
      </c>
      <c r="C72" s="170" t="s">
        <v>511</v>
      </c>
      <c r="D72" s="170" t="s">
        <v>453</v>
      </c>
      <c r="E72" s="170" t="s">
        <v>454</v>
      </c>
      <c r="F72" s="170"/>
      <c r="G72" s="170"/>
      <c r="H72" s="170">
        <v>45</v>
      </c>
      <c r="I72" s="169"/>
      <c r="J72" s="170"/>
      <c r="K72" s="171"/>
      <c r="L72" s="171"/>
      <c r="M72" s="171"/>
      <c r="N72" s="171"/>
      <c r="O72" s="171"/>
      <c r="P72" s="171"/>
      <c r="Q72" s="171"/>
      <c r="R72" s="171"/>
      <c r="S72" s="171"/>
      <c r="T72" s="171"/>
      <c r="U72" s="171"/>
      <c r="V72" s="171"/>
      <c r="W72" s="171"/>
      <c r="X72" s="171"/>
      <c r="Y72" s="171"/>
      <c r="Z72" s="171"/>
      <c r="AA72" s="171"/>
      <c r="AB72" s="171"/>
      <c r="AC72" s="171"/>
      <c r="AD72" s="171"/>
      <c r="AE72" s="171"/>
      <c r="AF72" s="171"/>
      <c r="AG72" s="171"/>
      <c r="AH72" s="171"/>
      <c r="AI72" s="171"/>
      <c r="AJ72" s="171"/>
      <c r="AK72" s="171"/>
      <c r="AL72" s="141"/>
      <c r="AM72" s="188"/>
      <c r="AN72" s="188"/>
      <c r="AO72" s="188"/>
      <c r="AP72" s="188"/>
      <c r="AQ72" s="188"/>
      <c r="AR72" s="188"/>
      <c r="AS72" s="188"/>
      <c r="AT72" s="188"/>
      <c r="AU72" s="188"/>
      <c r="AV72" s="188"/>
      <c r="AW72" s="188"/>
      <c r="AX72" s="188"/>
      <c r="AY72" s="188"/>
      <c r="AZ72" s="188"/>
      <c r="BA72" s="188"/>
      <c r="BB72" s="188"/>
      <c r="BC72" s="188"/>
      <c r="BD72" s="188"/>
      <c r="BE72" s="188"/>
      <c r="BF72" s="188"/>
      <c r="BG72" s="188"/>
      <c r="BH72" s="188"/>
      <c r="BI72" s="188"/>
      <c r="BJ72" s="188"/>
      <c r="BK72" s="188"/>
      <c r="BL72" s="188"/>
      <c r="BM72" s="188"/>
      <c r="BN72" s="188"/>
      <c r="BO72" s="188"/>
      <c r="BP72" s="188"/>
    </row>
    <row r="73" spans="2:68" x14ac:dyDescent="0.15">
      <c r="B73" s="141">
        <v>172</v>
      </c>
      <c r="C73" s="141" t="s">
        <v>512</v>
      </c>
      <c r="D73" s="141" t="s">
        <v>453</v>
      </c>
      <c r="E73" s="141" t="s">
        <v>454</v>
      </c>
      <c r="F73" s="141" t="s">
        <v>90</v>
      </c>
      <c r="G73" s="141" t="s">
        <v>190</v>
      </c>
      <c r="H73" s="141">
        <v>192</v>
      </c>
      <c r="I73" s="172" t="s">
        <v>87</v>
      </c>
      <c r="J73" s="141" t="s">
        <v>83</v>
      </c>
      <c r="K73" s="173" t="s">
        <v>83</v>
      </c>
      <c r="L73" s="173" t="s">
        <v>83</v>
      </c>
      <c r="M73" s="173" t="s">
        <v>83</v>
      </c>
      <c r="N73" s="173" t="s">
        <v>83</v>
      </c>
      <c r="O73" s="173" t="s">
        <v>83</v>
      </c>
      <c r="P73" s="173" t="s">
        <v>83</v>
      </c>
      <c r="Q73" s="173" t="s">
        <v>83</v>
      </c>
      <c r="R73" s="173" t="s">
        <v>83</v>
      </c>
      <c r="S73" s="173" t="s">
        <v>83</v>
      </c>
      <c r="T73" s="173" t="s">
        <v>83</v>
      </c>
      <c r="U73" s="173" t="s">
        <v>83</v>
      </c>
      <c r="V73" s="173" t="s">
        <v>83</v>
      </c>
      <c r="W73" s="173" t="s">
        <v>83</v>
      </c>
      <c r="X73" s="173" t="s">
        <v>83</v>
      </c>
      <c r="Y73" s="173" t="s">
        <v>83</v>
      </c>
      <c r="Z73" s="173" t="s">
        <v>83</v>
      </c>
      <c r="AA73" s="173" t="s">
        <v>83</v>
      </c>
      <c r="AB73" s="173" t="s">
        <v>83</v>
      </c>
      <c r="AC73" s="173" t="s">
        <v>83</v>
      </c>
      <c r="AD73" s="173" t="s">
        <v>83</v>
      </c>
      <c r="AE73" s="173" t="s">
        <v>83</v>
      </c>
      <c r="AF73" s="173" t="s">
        <v>83</v>
      </c>
      <c r="AG73" s="173" t="s">
        <v>83</v>
      </c>
      <c r="AH73" s="173" t="s">
        <v>83</v>
      </c>
      <c r="AI73" s="173" t="s">
        <v>83</v>
      </c>
      <c r="AJ73" s="173" t="s">
        <v>83</v>
      </c>
      <c r="AK73" s="173" t="s">
        <v>83</v>
      </c>
      <c r="AL73" s="141"/>
      <c r="AM73" s="188"/>
      <c r="AN73" s="188"/>
      <c r="AO73" s="188"/>
      <c r="AP73" s="188"/>
      <c r="AQ73" s="188"/>
      <c r="AR73" s="188"/>
      <c r="AS73" s="188"/>
      <c r="AT73" s="188"/>
      <c r="AU73" s="188"/>
      <c r="AV73" s="188"/>
      <c r="AW73" s="188"/>
      <c r="AX73" s="188"/>
      <c r="AY73" s="188"/>
      <c r="AZ73" s="188"/>
      <c r="BA73" s="188"/>
      <c r="BB73" s="188"/>
      <c r="BC73" s="188"/>
      <c r="BD73" s="188"/>
      <c r="BE73" s="188"/>
      <c r="BF73" s="188"/>
      <c r="BG73" s="188"/>
      <c r="BH73" s="188"/>
      <c r="BI73" s="188"/>
      <c r="BJ73" s="188"/>
      <c r="BK73" s="188"/>
      <c r="BL73" s="188"/>
      <c r="BM73" s="188"/>
      <c r="BN73" s="188"/>
      <c r="BO73" s="188"/>
      <c r="BP73" s="188"/>
    </row>
    <row r="74" spans="2:68" x14ac:dyDescent="0.15">
      <c r="B74" s="170">
        <v>18165</v>
      </c>
      <c r="C74" s="170" t="s">
        <v>513</v>
      </c>
      <c r="D74" s="170" t="s">
        <v>453</v>
      </c>
      <c r="E74" s="170" t="s">
        <v>454</v>
      </c>
      <c r="F74" s="170" t="s">
        <v>514</v>
      </c>
      <c r="G74" s="170" t="s">
        <v>287</v>
      </c>
      <c r="H74" s="170">
        <v>47</v>
      </c>
      <c r="I74" s="169"/>
      <c r="J74" s="170"/>
      <c r="K74" s="171"/>
      <c r="L74" s="171"/>
      <c r="M74" s="171"/>
      <c r="N74" s="171"/>
      <c r="O74" s="171"/>
      <c r="P74" s="171"/>
      <c r="Q74" s="171"/>
      <c r="R74" s="171"/>
      <c r="S74" s="171"/>
      <c r="T74" s="171"/>
      <c r="U74" s="171"/>
      <c r="V74" s="171"/>
      <c r="W74" s="171"/>
      <c r="X74" s="171"/>
      <c r="Y74" s="171"/>
      <c r="Z74" s="171"/>
      <c r="AA74" s="171"/>
      <c r="AB74" s="171"/>
      <c r="AC74" s="171"/>
      <c r="AD74" s="171"/>
      <c r="AE74" s="171"/>
      <c r="AF74" s="171"/>
      <c r="AG74" s="171"/>
      <c r="AH74" s="171"/>
      <c r="AI74" s="171"/>
      <c r="AJ74" s="171"/>
      <c r="AK74" s="171"/>
      <c r="AL74" s="141"/>
      <c r="AM74" s="188"/>
      <c r="AN74" s="188"/>
      <c r="AO74" s="188"/>
      <c r="AP74" s="188"/>
      <c r="AQ74" s="188"/>
      <c r="AR74" s="188"/>
      <c r="AS74" s="188"/>
      <c r="AT74" s="188"/>
      <c r="AU74" s="188"/>
      <c r="AV74" s="188"/>
      <c r="AW74" s="188"/>
      <c r="AX74" s="188"/>
      <c r="AY74" s="188"/>
      <c r="AZ74" s="188"/>
      <c r="BA74" s="188"/>
      <c r="BB74" s="188"/>
      <c r="BC74" s="188"/>
      <c r="BD74" s="188"/>
      <c r="BE74" s="188"/>
      <c r="BF74" s="188"/>
      <c r="BG74" s="188"/>
      <c r="BH74" s="188"/>
      <c r="BI74" s="188"/>
      <c r="BJ74" s="188"/>
      <c r="BK74" s="188"/>
      <c r="BL74" s="188"/>
      <c r="BM74" s="188"/>
      <c r="BN74" s="188"/>
      <c r="BO74" s="188"/>
      <c r="BP74" s="188"/>
    </row>
    <row r="75" spans="2:68" x14ac:dyDescent="0.15">
      <c r="B75" s="141">
        <v>11699</v>
      </c>
      <c r="C75" s="141" t="s">
        <v>515</v>
      </c>
      <c r="D75" s="141" t="s">
        <v>453</v>
      </c>
      <c r="E75" s="141" t="s">
        <v>454</v>
      </c>
      <c r="F75" s="141" t="s">
        <v>253</v>
      </c>
      <c r="G75" s="141" t="s">
        <v>253</v>
      </c>
      <c r="H75" s="141">
        <v>28</v>
      </c>
      <c r="I75" s="172"/>
      <c r="J75" s="141"/>
      <c r="K75" s="173"/>
      <c r="L75" s="173"/>
      <c r="M75" s="173"/>
      <c r="N75" s="173"/>
      <c r="O75" s="173"/>
      <c r="P75" s="173"/>
      <c r="Q75" s="173"/>
      <c r="R75" s="173"/>
      <c r="S75" s="173"/>
      <c r="T75" s="173"/>
      <c r="U75" s="173"/>
      <c r="V75" s="173"/>
      <c r="W75" s="173"/>
      <c r="X75" s="173"/>
      <c r="Y75" s="173"/>
      <c r="Z75" s="173"/>
      <c r="AA75" s="173"/>
      <c r="AB75" s="173"/>
      <c r="AC75" s="173"/>
      <c r="AD75" s="173"/>
      <c r="AE75" s="173"/>
      <c r="AF75" s="173"/>
      <c r="AG75" s="173"/>
      <c r="AH75" s="173"/>
      <c r="AI75" s="173"/>
      <c r="AJ75" s="173"/>
      <c r="AK75" s="173"/>
      <c r="AL75" s="141"/>
      <c r="AM75" s="188"/>
      <c r="AN75" s="188"/>
      <c r="AO75" s="188"/>
      <c r="AP75" s="188"/>
      <c r="AQ75" s="188"/>
      <c r="AR75" s="188"/>
      <c r="AS75" s="188"/>
      <c r="AT75" s="188"/>
      <c r="AU75" s="188"/>
      <c r="AV75" s="188"/>
      <c r="AW75" s="188"/>
      <c r="AX75" s="188"/>
      <c r="AY75" s="188"/>
      <c r="AZ75" s="188"/>
      <c r="BA75" s="188"/>
      <c r="BB75" s="188"/>
      <c r="BC75" s="188"/>
      <c r="BD75" s="188"/>
      <c r="BE75" s="188"/>
      <c r="BF75" s="188"/>
      <c r="BG75" s="188"/>
      <c r="BH75" s="188"/>
      <c r="BI75" s="188"/>
      <c r="BJ75" s="188"/>
      <c r="BK75" s="188"/>
      <c r="BL75" s="188"/>
      <c r="BM75" s="188"/>
      <c r="BN75" s="188"/>
      <c r="BO75" s="188"/>
      <c r="BP75" s="188"/>
    </row>
    <row r="76" spans="2:68" x14ac:dyDescent="0.15">
      <c r="B76" s="170">
        <v>27365</v>
      </c>
      <c r="C76" s="170" t="s">
        <v>516</v>
      </c>
      <c r="D76" s="170" t="s">
        <v>453</v>
      </c>
      <c r="E76" s="170" t="s">
        <v>454</v>
      </c>
      <c r="F76" s="170" t="s">
        <v>517</v>
      </c>
      <c r="G76" s="170" t="s">
        <v>518</v>
      </c>
      <c r="H76" s="170">
        <v>69</v>
      </c>
      <c r="I76" s="169"/>
      <c r="J76" s="170"/>
      <c r="K76" s="171"/>
      <c r="L76" s="171"/>
      <c r="M76" s="171"/>
      <c r="N76" s="171"/>
      <c r="O76" s="171"/>
      <c r="P76" s="171"/>
      <c r="Q76" s="171"/>
      <c r="R76" s="171"/>
      <c r="S76" s="171"/>
      <c r="T76" s="171"/>
      <c r="U76" s="171"/>
      <c r="V76" s="171"/>
      <c r="W76" s="171"/>
      <c r="X76" s="171"/>
      <c r="Y76" s="171"/>
      <c r="Z76" s="171"/>
      <c r="AA76" s="171"/>
      <c r="AB76" s="171"/>
      <c r="AC76" s="171"/>
      <c r="AD76" s="171"/>
      <c r="AE76" s="171"/>
      <c r="AF76" s="171"/>
      <c r="AG76" s="171"/>
      <c r="AH76" s="171"/>
      <c r="AI76" s="171"/>
      <c r="AJ76" s="171"/>
      <c r="AK76" s="171"/>
      <c r="AL76" s="141"/>
      <c r="AM76" s="188"/>
      <c r="AN76" s="188"/>
      <c r="AO76" s="188"/>
      <c r="AP76" s="188"/>
      <c r="AQ76" s="188"/>
      <c r="AR76" s="188"/>
      <c r="AS76" s="188"/>
      <c r="AT76" s="188"/>
      <c r="AU76" s="188"/>
      <c r="AV76" s="188"/>
      <c r="AW76" s="188"/>
      <c r="AX76" s="188"/>
      <c r="AY76" s="188"/>
      <c r="AZ76" s="188"/>
      <c r="BA76" s="188"/>
      <c r="BB76" s="188"/>
      <c r="BC76" s="188"/>
      <c r="BD76" s="188"/>
      <c r="BE76" s="188"/>
      <c r="BF76" s="188"/>
      <c r="BG76" s="188"/>
      <c r="BH76" s="188"/>
      <c r="BI76" s="188"/>
      <c r="BJ76" s="188"/>
      <c r="BK76" s="188"/>
      <c r="BL76" s="188"/>
      <c r="BM76" s="188"/>
      <c r="BN76" s="188"/>
      <c r="BO76" s="188"/>
      <c r="BP76" s="188"/>
    </row>
    <row r="77" spans="2:68" x14ac:dyDescent="0.15">
      <c r="B77" s="141">
        <v>1306</v>
      </c>
      <c r="C77" s="141" t="s">
        <v>519</v>
      </c>
      <c r="D77" s="141" t="s">
        <v>453</v>
      </c>
      <c r="E77" s="141" t="s">
        <v>454</v>
      </c>
      <c r="F77" s="141" t="s">
        <v>520</v>
      </c>
      <c r="G77" s="141" t="s">
        <v>110</v>
      </c>
      <c r="H77" s="141">
        <v>341</v>
      </c>
      <c r="I77" s="172"/>
      <c r="J77" s="141" t="s">
        <v>83</v>
      </c>
      <c r="K77" s="173" t="s">
        <v>83</v>
      </c>
      <c r="L77" s="173" t="s">
        <v>83</v>
      </c>
      <c r="M77" s="173" t="s">
        <v>83</v>
      </c>
      <c r="N77" s="173" t="s">
        <v>83</v>
      </c>
      <c r="O77" s="173" t="s">
        <v>83</v>
      </c>
      <c r="P77" s="173" t="s">
        <v>83</v>
      </c>
      <c r="Q77" s="173" t="s">
        <v>83</v>
      </c>
      <c r="R77" s="173" t="s">
        <v>83</v>
      </c>
      <c r="S77" s="173" t="s">
        <v>83</v>
      </c>
      <c r="T77" s="173" t="s">
        <v>83</v>
      </c>
      <c r="U77" s="173" t="s">
        <v>83</v>
      </c>
      <c r="V77" s="173" t="s">
        <v>83</v>
      </c>
      <c r="W77" s="173" t="s">
        <v>83</v>
      </c>
      <c r="X77" s="173" t="s">
        <v>83</v>
      </c>
      <c r="Y77" s="173" t="s">
        <v>83</v>
      </c>
      <c r="Z77" s="173" t="s">
        <v>83</v>
      </c>
      <c r="AA77" s="173" t="s">
        <v>83</v>
      </c>
      <c r="AB77" s="173" t="s">
        <v>83</v>
      </c>
      <c r="AC77" s="173" t="s">
        <v>83</v>
      </c>
      <c r="AD77" s="173" t="s">
        <v>83</v>
      </c>
      <c r="AE77" s="173" t="s">
        <v>83</v>
      </c>
      <c r="AF77" s="173" t="s">
        <v>83</v>
      </c>
      <c r="AG77" s="173" t="s">
        <v>83</v>
      </c>
      <c r="AH77" s="173" t="s">
        <v>83</v>
      </c>
      <c r="AI77" s="173" t="s">
        <v>83</v>
      </c>
      <c r="AJ77" s="173" t="s">
        <v>88</v>
      </c>
      <c r="AK77" s="173" t="s">
        <v>88</v>
      </c>
      <c r="AL77" s="141"/>
      <c r="AM77" s="188"/>
      <c r="AN77" s="188"/>
      <c r="AO77" s="188"/>
      <c r="AP77" s="188"/>
      <c r="AQ77" s="188"/>
      <c r="AR77" s="188"/>
      <c r="AS77" s="188"/>
      <c r="AT77" s="188"/>
      <c r="AU77" s="188"/>
      <c r="AV77" s="188"/>
      <c r="AW77" s="188"/>
      <c r="AX77" s="188"/>
      <c r="AY77" s="188"/>
      <c r="AZ77" s="188"/>
      <c r="BA77" s="188"/>
      <c r="BB77" s="188"/>
      <c r="BC77" s="188"/>
      <c r="BD77" s="188"/>
      <c r="BE77" s="188"/>
      <c r="BF77" s="188"/>
      <c r="BG77" s="188"/>
      <c r="BH77" s="188"/>
      <c r="BI77" s="188"/>
      <c r="BJ77" s="188"/>
      <c r="BK77" s="188"/>
      <c r="BL77" s="188"/>
      <c r="BM77" s="188"/>
      <c r="BN77" s="188"/>
      <c r="BO77" s="188"/>
      <c r="BP77" s="188"/>
    </row>
    <row r="78" spans="2:68" x14ac:dyDescent="0.15">
      <c r="B78" s="170">
        <v>72527</v>
      </c>
      <c r="C78" s="170" t="s">
        <v>521</v>
      </c>
      <c r="D78" s="170" t="s">
        <v>453</v>
      </c>
      <c r="E78" s="170" t="s">
        <v>454</v>
      </c>
      <c r="F78" s="170" t="s">
        <v>522</v>
      </c>
      <c r="G78" s="170" t="s">
        <v>522</v>
      </c>
      <c r="H78" s="170">
        <v>17</v>
      </c>
      <c r="I78" s="169"/>
      <c r="J78" s="170"/>
      <c r="K78" s="171"/>
      <c r="L78" s="171"/>
      <c r="M78" s="171"/>
      <c r="N78" s="171"/>
      <c r="O78" s="171"/>
      <c r="P78" s="171"/>
      <c r="Q78" s="171"/>
      <c r="R78" s="171"/>
      <c r="S78" s="171"/>
      <c r="T78" s="171"/>
      <c r="U78" s="171"/>
      <c r="V78" s="171"/>
      <c r="W78" s="171"/>
      <c r="X78" s="171"/>
      <c r="Y78" s="171"/>
      <c r="Z78" s="171"/>
      <c r="AA78" s="171"/>
      <c r="AB78" s="171"/>
      <c r="AC78" s="171"/>
      <c r="AD78" s="171"/>
      <c r="AE78" s="171"/>
      <c r="AF78" s="171"/>
      <c r="AG78" s="171"/>
      <c r="AH78" s="171"/>
      <c r="AI78" s="171"/>
      <c r="AJ78" s="171"/>
      <c r="AK78" s="171"/>
      <c r="AL78" s="141"/>
      <c r="AM78" s="188"/>
      <c r="AN78" s="188"/>
      <c r="AO78" s="188"/>
      <c r="AP78" s="188"/>
      <c r="AQ78" s="188"/>
      <c r="AR78" s="188"/>
      <c r="AS78" s="188"/>
      <c r="AT78" s="188"/>
      <c r="AU78" s="188"/>
      <c r="AV78" s="188"/>
      <c r="AW78" s="188"/>
      <c r="AX78" s="188"/>
      <c r="AY78" s="188"/>
      <c r="AZ78" s="188"/>
      <c r="BA78" s="188"/>
      <c r="BB78" s="188"/>
      <c r="BC78" s="188"/>
      <c r="BD78" s="188"/>
      <c r="BE78" s="188"/>
      <c r="BF78" s="188"/>
      <c r="BG78" s="188"/>
      <c r="BH78" s="188"/>
      <c r="BI78" s="188"/>
      <c r="BJ78" s="188"/>
      <c r="BK78" s="188"/>
      <c r="BL78" s="188"/>
      <c r="BM78" s="188"/>
      <c r="BN78" s="188"/>
      <c r="BO78" s="188"/>
      <c r="BP78" s="188"/>
    </row>
    <row r="79" spans="2:68" x14ac:dyDescent="0.15">
      <c r="B79" s="141">
        <v>18205</v>
      </c>
      <c r="C79" s="141" t="s">
        <v>523</v>
      </c>
      <c r="D79" s="141" t="s">
        <v>453</v>
      </c>
      <c r="E79" s="141" t="s">
        <v>454</v>
      </c>
      <c r="F79" s="141" t="s">
        <v>131</v>
      </c>
      <c r="G79" s="141" t="s">
        <v>82</v>
      </c>
      <c r="H79" s="141">
        <v>282</v>
      </c>
      <c r="I79" s="172"/>
      <c r="J79" s="141" t="s">
        <v>83</v>
      </c>
      <c r="K79" s="173" t="s">
        <v>83</v>
      </c>
      <c r="L79" s="173" t="s">
        <v>83</v>
      </c>
      <c r="M79" s="173" t="s">
        <v>83</v>
      </c>
      <c r="N79" s="173" t="s">
        <v>83</v>
      </c>
      <c r="O79" s="173" t="s">
        <v>83</v>
      </c>
      <c r="P79" s="173" t="s">
        <v>83</v>
      </c>
      <c r="Q79" s="173" t="s">
        <v>83</v>
      </c>
      <c r="R79" s="173" t="s">
        <v>83</v>
      </c>
      <c r="S79" s="173" t="s">
        <v>83</v>
      </c>
      <c r="T79" s="173" t="s">
        <v>83</v>
      </c>
      <c r="U79" s="173" t="s">
        <v>83</v>
      </c>
      <c r="V79" s="173" t="s">
        <v>83</v>
      </c>
      <c r="W79" s="173" t="s">
        <v>83</v>
      </c>
      <c r="X79" s="173" t="s">
        <v>83</v>
      </c>
      <c r="Y79" s="173" t="s">
        <v>83</v>
      </c>
      <c r="Z79" s="173" t="s">
        <v>83</v>
      </c>
      <c r="AA79" s="173" t="s">
        <v>83</v>
      </c>
      <c r="AB79" s="173" t="s">
        <v>83</v>
      </c>
      <c r="AC79" s="173" t="s">
        <v>83</v>
      </c>
      <c r="AD79" s="173" t="s">
        <v>83</v>
      </c>
      <c r="AE79" s="173" t="s">
        <v>83</v>
      </c>
      <c r="AF79" s="173" t="s">
        <v>83</v>
      </c>
      <c r="AG79" s="173" t="s">
        <v>83</v>
      </c>
      <c r="AH79" s="173" t="s">
        <v>83</v>
      </c>
      <c r="AI79" s="173" t="s">
        <v>83</v>
      </c>
      <c r="AJ79" s="173" t="s">
        <v>83</v>
      </c>
      <c r="AK79" s="173" t="s">
        <v>83</v>
      </c>
      <c r="AL79" s="141"/>
      <c r="AM79" s="188"/>
      <c r="AN79" s="188"/>
      <c r="AO79" s="188"/>
      <c r="AP79" s="188"/>
      <c r="AQ79" s="188"/>
      <c r="AR79" s="188"/>
      <c r="AS79" s="188"/>
      <c r="AT79" s="188"/>
      <c r="AU79" s="188"/>
      <c r="AV79" s="188"/>
      <c r="AW79" s="188"/>
      <c r="AX79" s="188"/>
      <c r="AY79" s="188"/>
      <c r="AZ79" s="188"/>
      <c r="BA79" s="188"/>
      <c r="BB79" s="188"/>
      <c r="BC79" s="188"/>
      <c r="BD79" s="188"/>
      <c r="BE79" s="188"/>
      <c r="BF79" s="188"/>
      <c r="BG79" s="188"/>
      <c r="BH79" s="188"/>
      <c r="BI79" s="188"/>
      <c r="BJ79" s="188"/>
      <c r="BK79" s="188"/>
      <c r="BL79" s="188"/>
      <c r="BM79" s="188"/>
      <c r="BN79" s="188"/>
      <c r="BO79" s="188"/>
      <c r="BP79" s="188"/>
    </row>
    <row r="80" spans="2:68" x14ac:dyDescent="0.15">
      <c r="B80" s="170">
        <v>11700</v>
      </c>
      <c r="C80" s="170" t="s">
        <v>524</v>
      </c>
      <c r="D80" s="170" t="s">
        <v>453</v>
      </c>
      <c r="E80" s="170" t="s">
        <v>454</v>
      </c>
      <c r="F80" s="170" t="s">
        <v>275</v>
      </c>
      <c r="G80" s="170" t="s">
        <v>172</v>
      </c>
      <c r="H80" s="170">
        <v>28</v>
      </c>
      <c r="I80" s="169"/>
      <c r="J80" s="170"/>
      <c r="K80" s="171"/>
      <c r="L80" s="171"/>
      <c r="M80" s="171"/>
      <c r="N80" s="171"/>
      <c r="O80" s="171"/>
      <c r="P80" s="171"/>
      <c r="Q80" s="171"/>
      <c r="R80" s="171"/>
      <c r="S80" s="171"/>
      <c r="T80" s="171"/>
      <c r="U80" s="171"/>
      <c r="V80" s="171"/>
      <c r="W80" s="171"/>
      <c r="X80" s="171"/>
      <c r="Y80" s="171"/>
      <c r="Z80" s="171"/>
      <c r="AA80" s="171"/>
      <c r="AB80" s="171"/>
      <c r="AC80" s="171"/>
      <c r="AD80" s="171"/>
      <c r="AE80" s="171"/>
      <c r="AF80" s="171"/>
      <c r="AG80" s="171"/>
      <c r="AH80" s="171"/>
      <c r="AI80" s="171"/>
      <c r="AJ80" s="171"/>
      <c r="AK80" s="171"/>
      <c r="AL80" s="141"/>
      <c r="AM80" s="188"/>
      <c r="AN80" s="188"/>
      <c r="AO80" s="188"/>
      <c r="AP80" s="188"/>
      <c r="AQ80" s="188"/>
      <c r="AR80" s="188"/>
      <c r="AS80" s="188"/>
      <c r="AT80" s="188"/>
      <c r="AU80" s="188"/>
      <c r="AV80" s="188"/>
      <c r="AW80" s="188"/>
      <c r="AX80" s="188"/>
      <c r="AY80" s="188"/>
      <c r="AZ80" s="188"/>
      <c r="BA80" s="188"/>
      <c r="BB80" s="188"/>
      <c r="BC80" s="188"/>
      <c r="BD80" s="188"/>
      <c r="BE80" s="188"/>
      <c r="BF80" s="188"/>
      <c r="BG80" s="188"/>
      <c r="BH80" s="188"/>
      <c r="BI80" s="188"/>
      <c r="BJ80" s="188"/>
      <c r="BK80" s="188"/>
      <c r="BL80" s="188"/>
      <c r="BM80" s="188"/>
      <c r="BN80" s="188"/>
      <c r="BO80" s="188"/>
      <c r="BP80" s="188"/>
    </row>
    <row r="81" spans="2:68" x14ac:dyDescent="0.15">
      <c r="B81" s="141">
        <v>6300</v>
      </c>
      <c r="C81" s="141" t="s">
        <v>525</v>
      </c>
      <c r="D81" s="141" t="s">
        <v>453</v>
      </c>
      <c r="E81" s="141" t="s">
        <v>454</v>
      </c>
      <c r="F81" s="141" t="s">
        <v>526</v>
      </c>
      <c r="G81" s="141" t="s">
        <v>526</v>
      </c>
      <c r="H81" s="141">
        <v>53</v>
      </c>
      <c r="I81" s="172"/>
      <c r="J81" s="141" t="s">
        <v>83</v>
      </c>
      <c r="K81" s="173" t="s">
        <v>83</v>
      </c>
      <c r="L81" s="173" t="s">
        <v>83</v>
      </c>
      <c r="M81" s="173" t="s">
        <v>83</v>
      </c>
      <c r="N81" s="173" t="s">
        <v>83</v>
      </c>
      <c r="O81" s="173" t="s">
        <v>83</v>
      </c>
      <c r="P81" s="173" t="s">
        <v>83</v>
      </c>
      <c r="Q81" s="173" t="s">
        <v>83</v>
      </c>
      <c r="R81" s="173" t="s">
        <v>83</v>
      </c>
      <c r="S81" s="173" t="s">
        <v>83</v>
      </c>
      <c r="T81" s="173" t="s">
        <v>83</v>
      </c>
      <c r="U81" s="173" t="s">
        <v>83</v>
      </c>
      <c r="V81" s="173" t="s">
        <v>83</v>
      </c>
      <c r="W81" s="173" t="s">
        <v>83</v>
      </c>
      <c r="X81" s="173" t="s">
        <v>83</v>
      </c>
      <c r="Y81" s="173" t="s">
        <v>83</v>
      </c>
      <c r="Z81" s="173" t="s">
        <v>83</v>
      </c>
      <c r="AA81" s="173" t="s">
        <v>83</v>
      </c>
      <c r="AB81" s="173" t="s">
        <v>83</v>
      </c>
      <c r="AC81" s="173" t="s">
        <v>83</v>
      </c>
      <c r="AD81" s="173" t="s">
        <v>83</v>
      </c>
      <c r="AE81" s="173" t="s">
        <v>83</v>
      </c>
      <c r="AF81" s="173" t="s">
        <v>83</v>
      </c>
      <c r="AG81" s="173" t="s">
        <v>83</v>
      </c>
      <c r="AH81" s="173" t="s">
        <v>83</v>
      </c>
      <c r="AI81" s="173" t="s">
        <v>83</v>
      </c>
      <c r="AJ81" s="173" t="s">
        <v>83</v>
      </c>
      <c r="AK81" s="173" t="s">
        <v>83</v>
      </c>
      <c r="AL81" s="141"/>
      <c r="AM81" s="188"/>
      <c r="AN81" s="188"/>
      <c r="AO81" s="188"/>
      <c r="AP81" s="188"/>
      <c r="AQ81" s="188"/>
      <c r="AR81" s="188"/>
      <c r="AS81" s="188"/>
      <c r="AT81" s="188"/>
      <c r="AU81" s="188"/>
      <c r="AV81" s="188"/>
      <c r="AW81" s="188"/>
      <c r="AX81" s="188"/>
      <c r="AY81" s="188"/>
      <c r="AZ81" s="188"/>
      <c r="BA81" s="188"/>
      <c r="BB81" s="188"/>
      <c r="BC81" s="188"/>
      <c r="BD81" s="188"/>
      <c r="BE81" s="188"/>
      <c r="BF81" s="188"/>
      <c r="BG81" s="188"/>
      <c r="BH81" s="188"/>
      <c r="BI81" s="188"/>
      <c r="BJ81" s="188"/>
      <c r="BK81" s="188"/>
      <c r="BL81" s="188"/>
      <c r="BM81" s="188"/>
      <c r="BN81" s="188"/>
      <c r="BO81" s="188"/>
      <c r="BP81" s="188"/>
    </row>
    <row r="82" spans="2:68" x14ac:dyDescent="0.15">
      <c r="B82" s="170">
        <v>18207</v>
      </c>
      <c r="C82" s="170" t="s">
        <v>527</v>
      </c>
      <c r="D82" s="170" t="s">
        <v>453</v>
      </c>
      <c r="E82" s="170" t="s">
        <v>454</v>
      </c>
      <c r="F82" s="170" t="s">
        <v>528</v>
      </c>
      <c r="G82" s="170" t="s">
        <v>232</v>
      </c>
      <c r="H82" s="170">
        <v>29</v>
      </c>
      <c r="I82" s="169"/>
      <c r="J82" s="170"/>
      <c r="K82" s="171"/>
      <c r="L82" s="171"/>
      <c r="M82" s="171"/>
      <c r="N82" s="171"/>
      <c r="O82" s="171"/>
      <c r="P82" s="171"/>
      <c r="Q82" s="171"/>
      <c r="R82" s="171"/>
      <c r="S82" s="171"/>
      <c r="T82" s="171"/>
      <c r="U82" s="171"/>
      <c r="V82" s="171"/>
      <c r="W82" s="171"/>
      <c r="X82" s="171"/>
      <c r="Y82" s="171"/>
      <c r="Z82" s="171"/>
      <c r="AA82" s="171"/>
      <c r="AB82" s="171"/>
      <c r="AC82" s="171"/>
      <c r="AD82" s="171"/>
      <c r="AE82" s="171"/>
      <c r="AF82" s="171"/>
      <c r="AG82" s="171"/>
      <c r="AH82" s="171"/>
      <c r="AI82" s="171"/>
      <c r="AJ82" s="171"/>
      <c r="AK82" s="171"/>
      <c r="AL82" s="141"/>
      <c r="AM82" s="188"/>
      <c r="AN82" s="188"/>
      <c r="AO82" s="188"/>
      <c r="AP82" s="188"/>
      <c r="AQ82" s="188"/>
      <c r="AR82" s="188"/>
      <c r="AS82" s="188"/>
      <c r="AT82" s="188"/>
      <c r="AU82" s="188"/>
      <c r="AV82" s="188"/>
      <c r="AW82" s="188"/>
      <c r="AX82" s="188"/>
      <c r="AY82" s="188"/>
      <c r="AZ82" s="188"/>
      <c r="BA82" s="188"/>
      <c r="BB82" s="188"/>
      <c r="BC82" s="188"/>
      <c r="BD82" s="188"/>
      <c r="BE82" s="188"/>
      <c r="BF82" s="188"/>
      <c r="BG82" s="188"/>
      <c r="BH82" s="188"/>
      <c r="BI82" s="188"/>
      <c r="BJ82" s="188"/>
      <c r="BK82" s="188"/>
      <c r="BL82" s="188"/>
      <c r="BM82" s="188"/>
      <c r="BN82" s="188"/>
      <c r="BO82" s="188"/>
      <c r="BP82" s="188"/>
    </row>
    <row r="83" spans="2:68" x14ac:dyDescent="0.15">
      <c r="B83" s="141">
        <v>72525</v>
      </c>
      <c r="C83" s="141" t="s">
        <v>529</v>
      </c>
      <c r="D83" s="141" t="s">
        <v>453</v>
      </c>
      <c r="E83" s="141" t="s">
        <v>454</v>
      </c>
      <c r="F83" s="141" t="s">
        <v>530</v>
      </c>
      <c r="G83" s="141" t="s">
        <v>530</v>
      </c>
      <c r="H83" s="141">
        <v>10</v>
      </c>
      <c r="I83" s="172"/>
      <c r="J83" s="141"/>
      <c r="K83" s="173"/>
      <c r="L83" s="173"/>
      <c r="M83" s="173"/>
      <c r="N83" s="173"/>
      <c r="O83" s="173"/>
      <c r="P83" s="173"/>
      <c r="Q83" s="173"/>
      <c r="R83" s="173"/>
      <c r="S83" s="173"/>
      <c r="T83" s="173"/>
      <c r="U83" s="173"/>
      <c r="V83" s="173"/>
      <c r="W83" s="173"/>
      <c r="X83" s="173"/>
      <c r="Y83" s="173"/>
      <c r="Z83" s="173"/>
      <c r="AA83" s="173"/>
      <c r="AB83" s="173"/>
      <c r="AC83" s="173"/>
      <c r="AD83" s="173"/>
      <c r="AE83" s="173"/>
      <c r="AF83" s="173"/>
      <c r="AG83" s="173"/>
      <c r="AH83" s="173"/>
      <c r="AI83" s="173"/>
      <c r="AJ83" s="173"/>
      <c r="AK83" s="173"/>
      <c r="AL83" s="141"/>
      <c r="AM83" s="188"/>
      <c r="AN83" s="188"/>
      <c r="AO83" s="188"/>
      <c r="AP83" s="188"/>
      <c r="AQ83" s="188"/>
      <c r="AR83" s="188"/>
      <c r="AS83" s="188"/>
      <c r="AT83" s="188"/>
      <c r="AU83" s="188"/>
      <c r="AV83" s="188"/>
      <c r="AW83" s="188"/>
      <c r="AX83" s="188"/>
      <c r="AY83" s="188"/>
      <c r="AZ83" s="188"/>
      <c r="BA83" s="188"/>
      <c r="BB83" s="188"/>
      <c r="BC83" s="188"/>
      <c r="BD83" s="188"/>
      <c r="BE83" s="188"/>
      <c r="BF83" s="188"/>
      <c r="BG83" s="188"/>
      <c r="BH83" s="188"/>
      <c r="BI83" s="188"/>
      <c r="BJ83" s="188"/>
      <c r="BK83" s="188"/>
      <c r="BL83" s="188"/>
      <c r="BM83" s="188"/>
      <c r="BN83" s="188"/>
      <c r="BO83" s="188"/>
      <c r="BP83" s="188"/>
    </row>
    <row r="84" spans="2:68" x14ac:dyDescent="0.15">
      <c r="B84" s="170">
        <v>2026</v>
      </c>
      <c r="C84" s="170" t="s">
        <v>531</v>
      </c>
      <c r="D84" s="170" t="s">
        <v>453</v>
      </c>
      <c r="E84" s="170" t="s">
        <v>454</v>
      </c>
      <c r="F84" s="170" t="s">
        <v>532</v>
      </c>
      <c r="G84" s="170" t="s">
        <v>172</v>
      </c>
      <c r="H84" s="170">
        <v>34</v>
      </c>
      <c r="I84" s="169"/>
      <c r="J84" s="170"/>
      <c r="K84" s="171"/>
      <c r="L84" s="171"/>
      <c r="M84" s="171"/>
      <c r="N84" s="171"/>
      <c r="O84" s="171"/>
      <c r="P84" s="171"/>
      <c r="Q84" s="171"/>
      <c r="R84" s="171"/>
      <c r="S84" s="171"/>
      <c r="T84" s="171"/>
      <c r="U84" s="171"/>
      <c r="V84" s="171"/>
      <c r="W84" s="171"/>
      <c r="X84" s="171"/>
      <c r="Y84" s="171"/>
      <c r="Z84" s="171"/>
      <c r="AA84" s="171"/>
      <c r="AB84" s="171"/>
      <c r="AC84" s="171"/>
      <c r="AD84" s="171"/>
      <c r="AE84" s="171"/>
      <c r="AF84" s="171"/>
      <c r="AG84" s="171"/>
      <c r="AH84" s="171"/>
      <c r="AI84" s="171"/>
      <c r="AJ84" s="171"/>
      <c r="AK84" s="171"/>
      <c r="AL84" s="141"/>
      <c r="AM84" s="188"/>
      <c r="AN84" s="188"/>
      <c r="AO84" s="188"/>
      <c r="AP84" s="188"/>
      <c r="AQ84" s="188"/>
      <c r="AR84" s="188"/>
      <c r="AS84" s="188"/>
      <c r="AT84" s="188"/>
      <c r="AU84" s="188"/>
      <c r="AV84" s="188"/>
      <c r="AW84" s="188"/>
      <c r="AX84" s="188"/>
      <c r="AY84" s="188"/>
      <c r="AZ84" s="188"/>
      <c r="BA84" s="188"/>
      <c r="BB84" s="188"/>
      <c r="BC84" s="188"/>
      <c r="BD84" s="188"/>
      <c r="BE84" s="188"/>
      <c r="BF84" s="188"/>
      <c r="BG84" s="188"/>
      <c r="BH84" s="188"/>
      <c r="BI84" s="188"/>
      <c r="BJ84" s="188"/>
      <c r="BK84" s="188"/>
      <c r="BL84" s="188"/>
      <c r="BM84" s="188"/>
      <c r="BN84" s="188"/>
      <c r="BO84" s="188"/>
      <c r="BP84" s="188"/>
    </row>
    <row r="85" spans="2:68" x14ac:dyDescent="0.15">
      <c r="B85" s="141">
        <v>4782</v>
      </c>
      <c r="C85" s="141" t="s">
        <v>533</v>
      </c>
      <c r="D85" s="141" t="s">
        <v>453</v>
      </c>
      <c r="E85" s="141" t="s">
        <v>454</v>
      </c>
      <c r="F85" s="141" t="s">
        <v>534</v>
      </c>
      <c r="G85" s="141" t="s">
        <v>246</v>
      </c>
      <c r="H85" s="141">
        <v>19</v>
      </c>
      <c r="I85" s="172"/>
      <c r="J85" s="141"/>
      <c r="K85" s="173"/>
      <c r="L85" s="173"/>
      <c r="M85" s="173"/>
      <c r="N85" s="173"/>
      <c r="O85" s="173"/>
      <c r="P85" s="173"/>
      <c r="Q85" s="173"/>
      <c r="R85" s="173"/>
      <c r="S85" s="173"/>
      <c r="T85" s="173"/>
      <c r="U85" s="173"/>
      <c r="V85" s="173"/>
      <c r="W85" s="173"/>
      <c r="X85" s="173"/>
      <c r="Y85" s="173"/>
      <c r="Z85" s="173"/>
      <c r="AA85" s="173"/>
      <c r="AB85" s="173"/>
      <c r="AC85" s="173"/>
      <c r="AD85" s="173"/>
      <c r="AE85" s="173"/>
      <c r="AF85" s="173"/>
      <c r="AG85" s="173"/>
      <c r="AH85" s="173"/>
      <c r="AI85" s="173"/>
      <c r="AJ85" s="173"/>
      <c r="AK85" s="173"/>
      <c r="AL85" s="141"/>
      <c r="AM85" s="188"/>
      <c r="AN85" s="188"/>
      <c r="AO85" s="188"/>
      <c r="AP85" s="188"/>
      <c r="AQ85" s="188"/>
      <c r="AR85" s="188"/>
      <c r="AS85" s="188"/>
      <c r="AT85" s="188"/>
      <c r="AU85" s="188"/>
      <c r="AV85" s="188"/>
      <c r="AW85" s="188"/>
      <c r="AX85" s="188"/>
      <c r="AY85" s="188"/>
      <c r="AZ85" s="188"/>
      <c r="BA85" s="188"/>
      <c r="BB85" s="188"/>
      <c r="BC85" s="188"/>
      <c r="BD85" s="188"/>
      <c r="BE85" s="188"/>
      <c r="BF85" s="188"/>
      <c r="BG85" s="188"/>
      <c r="BH85" s="188"/>
      <c r="BI85" s="188"/>
      <c r="BJ85" s="188"/>
      <c r="BK85" s="188"/>
      <c r="BL85" s="188"/>
      <c r="BM85" s="188"/>
      <c r="BN85" s="188"/>
      <c r="BO85" s="188"/>
      <c r="BP85" s="188"/>
    </row>
    <row r="86" spans="2:68" x14ac:dyDescent="0.15">
      <c r="B86" s="170">
        <v>29388</v>
      </c>
      <c r="C86" s="170" t="s">
        <v>535</v>
      </c>
      <c r="D86" s="170" t="s">
        <v>453</v>
      </c>
      <c r="E86" s="170" t="s">
        <v>454</v>
      </c>
      <c r="F86" s="170" t="s">
        <v>457</v>
      </c>
      <c r="G86" s="170" t="s">
        <v>536</v>
      </c>
      <c r="H86" s="170">
        <v>19</v>
      </c>
      <c r="I86" s="169"/>
      <c r="J86" s="170"/>
      <c r="K86" s="171"/>
      <c r="L86" s="171"/>
      <c r="M86" s="171"/>
      <c r="N86" s="171"/>
      <c r="O86" s="171"/>
      <c r="P86" s="171"/>
      <c r="Q86" s="171"/>
      <c r="R86" s="171"/>
      <c r="S86" s="171"/>
      <c r="T86" s="171"/>
      <c r="U86" s="171"/>
      <c r="V86" s="171"/>
      <c r="W86" s="171"/>
      <c r="X86" s="171"/>
      <c r="Y86" s="171"/>
      <c r="Z86" s="171"/>
      <c r="AA86" s="171"/>
      <c r="AB86" s="171"/>
      <c r="AC86" s="171"/>
      <c r="AD86" s="171"/>
      <c r="AE86" s="171"/>
      <c r="AF86" s="171"/>
      <c r="AG86" s="171"/>
      <c r="AH86" s="171"/>
      <c r="AI86" s="171"/>
      <c r="AJ86" s="171"/>
      <c r="AK86" s="171"/>
      <c r="AL86" s="141"/>
      <c r="AM86" s="188"/>
      <c r="AN86" s="188"/>
      <c r="AO86" s="188"/>
      <c r="AP86" s="188"/>
      <c r="AQ86" s="188"/>
      <c r="AR86" s="188"/>
      <c r="AS86" s="188"/>
      <c r="AT86" s="188"/>
      <c r="AU86" s="188"/>
      <c r="AV86" s="188"/>
      <c r="AW86" s="188"/>
      <c r="AX86" s="188"/>
      <c r="AY86" s="188"/>
      <c r="AZ86" s="188"/>
      <c r="BA86" s="188"/>
      <c r="BB86" s="188"/>
      <c r="BC86" s="188"/>
      <c r="BD86" s="188"/>
      <c r="BE86" s="188"/>
      <c r="BF86" s="188"/>
      <c r="BG86" s="188"/>
      <c r="BH86" s="188"/>
      <c r="BI86" s="188"/>
      <c r="BJ86" s="188"/>
      <c r="BK86" s="188"/>
      <c r="BL86" s="188"/>
      <c r="BM86" s="188"/>
      <c r="BN86" s="188"/>
      <c r="BO86" s="188"/>
      <c r="BP86" s="188"/>
    </row>
    <row r="87" spans="2:68" x14ac:dyDescent="0.15">
      <c r="B87" s="141">
        <v>9110</v>
      </c>
      <c r="C87" s="141" t="s">
        <v>537</v>
      </c>
      <c r="D87" s="141" t="s">
        <v>453</v>
      </c>
      <c r="E87" s="141" t="s">
        <v>454</v>
      </c>
      <c r="F87" s="141" t="s">
        <v>538</v>
      </c>
      <c r="G87" s="141" t="s">
        <v>539</v>
      </c>
      <c r="H87" s="141">
        <v>379</v>
      </c>
      <c r="I87" s="172"/>
      <c r="J87" s="141" t="s">
        <v>83</v>
      </c>
      <c r="K87" s="173" t="s">
        <v>83</v>
      </c>
      <c r="L87" s="173" t="s">
        <v>83</v>
      </c>
      <c r="M87" s="173" t="s">
        <v>83</v>
      </c>
      <c r="N87" s="173" t="s">
        <v>83</v>
      </c>
      <c r="O87" s="173" t="s">
        <v>83</v>
      </c>
      <c r="P87" s="173" t="s">
        <v>83</v>
      </c>
      <c r="Q87" s="173" t="s">
        <v>83</v>
      </c>
      <c r="R87" s="173" t="s">
        <v>83</v>
      </c>
      <c r="S87" s="173" t="s">
        <v>83</v>
      </c>
      <c r="T87" s="173" t="s">
        <v>83</v>
      </c>
      <c r="U87" s="173" t="s">
        <v>83</v>
      </c>
      <c r="V87" s="173" t="s">
        <v>83</v>
      </c>
      <c r="W87" s="173" t="s">
        <v>83</v>
      </c>
      <c r="X87" s="173" t="s">
        <v>83</v>
      </c>
      <c r="Y87" s="173" t="s">
        <v>83</v>
      </c>
      <c r="Z87" s="173" t="s">
        <v>83</v>
      </c>
      <c r="AA87" s="173" t="s">
        <v>83</v>
      </c>
      <c r="AB87" s="173" t="s">
        <v>83</v>
      </c>
      <c r="AC87" s="173" t="s">
        <v>83</v>
      </c>
      <c r="AD87" s="173" t="s">
        <v>83</v>
      </c>
      <c r="AE87" s="173" t="s">
        <v>83</v>
      </c>
      <c r="AF87" s="173" t="s">
        <v>83</v>
      </c>
      <c r="AG87" s="173" t="s">
        <v>83</v>
      </c>
      <c r="AH87" s="173" t="s">
        <v>83</v>
      </c>
      <c r="AI87" s="173" t="s">
        <v>83</v>
      </c>
      <c r="AJ87" s="173" t="s">
        <v>83</v>
      </c>
      <c r="AK87" s="173" t="s">
        <v>83</v>
      </c>
      <c r="AL87" s="141"/>
      <c r="AM87" s="188"/>
      <c r="AN87" s="188"/>
      <c r="AO87" s="188"/>
      <c r="AP87" s="188"/>
      <c r="AQ87" s="188"/>
      <c r="AR87" s="188"/>
      <c r="AS87" s="188"/>
      <c r="AT87" s="188"/>
      <c r="AU87" s="188"/>
      <c r="AV87" s="188"/>
      <c r="AW87" s="188"/>
      <c r="AX87" s="188"/>
      <c r="AY87" s="188"/>
      <c r="AZ87" s="188"/>
      <c r="BA87" s="188"/>
      <c r="BB87" s="188"/>
      <c r="BC87" s="188"/>
      <c r="BD87" s="188"/>
      <c r="BE87" s="188"/>
      <c r="BF87" s="188"/>
      <c r="BG87" s="188"/>
      <c r="BH87" s="188"/>
      <c r="BI87" s="188"/>
      <c r="BJ87" s="188"/>
      <c r="BK87" s="188"/>
      <c r="BL87" s="188"/>
      <c r="BM87" s="188"/>
      <c r="BN87" s="188"/>
      <c r="BO87" s="188"/>
      <c r="BP87" s="188"/>
    </row>
    <row r="88" spans="2:68" x14ac:dyDescent="0.15">
      <c r="B88" s="170">
        <v>11697</v>
      </c>
      <c r="C88" s="170" t="s">
        <v>540</v>
      </c>
      <c r="D88" s="170" t="s">
        <v>453</v>
      </c>
      <c r="E88" s="170" t="s">
        <v>454</v>
      </c>
      <c r="F88" s="170" t="s">
        <v>395</v>
      </c>
      <c r="G88" s="170" t="s">
        <v>541</v>
      </c>
      <c r="H88" s="170">
        <v>47</v>
      </c>
      <c r="I88" s="169"/>
      <c r="J88" s="170" t="s">
        <v>83</v>
      </c>
      <c r="K88" s="171" t="s">
        <v>83</v>
      </c>
      <c r="L88" s="171" t="s">
        <v>83</v>
      </c>
      <c r="M88" s="171" t="s">
        <v>83</v>
      </c>
      <c r="N88" s="171" t="s">
        <v>83</v>
      </c>
      <c r="O88" s="171" t="s">
        <v>83</v>
      </c>
      <c r="P88" s="171" t="s">
        <v>83</v>
      </c>
      <c r="Q88" s="171" t="s">
        <v>83</v>
      </c>
      <c r="R88" s="171" t="s">
        <v>83</v>
      </c>
      <c r="S88" s="171" t="s">
        <v>83</v>
      </c>
      <c r="T88" s="171" t="s">
        <v>83</v>
      </c>
      <c r="U88" s="171" t="s">
        <v>83</v>
      </c>
      <c r="V88" s="171" t="s">
        <v>83</v>
      </c>
      <c r="W88" s="171" t="s">
        <v>83</v>
      </c>
      <c r="X88" s="171" t="s">
        <v>83</v>
      </c>
      <c r="Y88" s="171" t="s">
        <v>83</v>
      </c>
      <c r="Z88" s="171" t="s">
        <v>83</v>
      </c>
      <c r="AA88" s="171" t="s">
        <v>83</v>
      </c>
      <c r="AB88" s="171" t="s">
        <v>83</v>
      </c>
      <c r="AC88" s="171" t="s">
        <v>83</v>
      </c>
      <c r="AD88" s="171" t="s">
        <v>83</v>
      </c>
      <c r="AE88" s="171" t="s">
        <v>83</v>
      </c>
      <c r="AF88" s="171" t="s">
        <v>83</v>
      </c>
      <c r="AG88" s="171" t="s">
        <v>83</v>
      </c>
      <c r="AH88" s="171" t="s">
        <v>83</v>
      </c>
      <c r="AI88" s="171" t="s">
        <v>83</v>
      </c>
      <c r="AJ88" s="171" t="s">
        <v>83</v>
      </c>
      <c r="AK88" s="171" t="s">
        <v>83</v>
      </c>
      <c r="AL88" s="141"/>
      <c r="AM88" s="188"/>
      <c r="AN88" s="188"/>
      <c r="AO88" s="188"/>
      <c r="AP88" s="188"/>
      <c r="AQ88" s="188"/>
      <c r="AR88" s="188"/>
      <c r="AS88" s="188"/>
      <c r="AT88" s="188"/>
      <c r="AU88" s="188"/>
      <c r="AV88" s="188"/>
      <c r="AW88" s="188"/>
      <c r="AX88" s="188"/>
      <c r="AY88" s="188"/>
      <c r="AZ88" s="188"/>
      <c r="BA88" s="188"/>
      <c r="BB88" s="188"/>
      <c r="BC88" s="188"/>
      <c r="BD88" s="188"/>
      <c r="BE88" s="188"/>
      <c r="BF88" s="188"/>
      <c r="BG88" s="188"/>
      <c r="BH88" s="188"/>
      <c r="BI88" s="188"/>
      <c r="BJ88" s="188"/>
      <c r="BK88" s="188"/>
      <c r="BL88" s="188"/>
      <c r="BM88" s="188"/>
      <c r="BN88" s="188"/>
      <c r="BO88" s="188"/>
      <c r="BP88" s="188"/>
    </row>
    <row r="89" spans="2:68" x14ac:dyDescent="0.15">
      <c r="B89" s="141">
        <v>7585</v>
      </c>
      <c r="C89" s="141" t="s">
        <v>542</v>
      </c>
      <c r="D89" s="141" t="s">
        <v>453</v>
      </c>
      <c r="E89" s="141" t="s">
        <v>454</v>
      </c>
      <c r="F89" s="141" t="s">
        <v>543</v>
      </c>
      <c r="G89" s="141" t="s">
        <v>544</v>
      </c>
      <c r="H89" s="141">
        <v>80</v>
      </c>
      <c r="I89" s="172"/>
      <c r="J89" s="141" t="s">
        <v>83</v>
      </c>
      <c r="K89" s="173" t="s">
        <v>83</v>
      </c>
      <c r="L89" s="173" t="s">
        <v>83</v>
      </c>
      <c r="M89" s="173" t="s">
        <v>83</v>
      </c>
      <c r="N89" s="173" t="s">
        <v>83</v>
      </c>
      <c r="O89" s="173" t="s">
        <v>83</v>
      </c>
      <c r="P89" s="173" t="s">
        <v>83</v>
      </c>
      <c r="Q89" s="173" t="s">
        <v>83</v>
      </c>
      <c r="R89" s="173" t="s">
        <v>83</v>
      </c>
      <c r="S89" s="173" t="s">
        <v>83</v>
      </c>
      <c r="T89" s="173" t="s">
        <v>83</v>
      </c>
      <c r="U89" s="173" t="s">
        <v>83</v>
      </c>
      <c r="V89" s="173" t="s">
        <v>83</v>
      </c>
      <c r="W89" s="173" t="s">
        <v>83</v>
      </c>
      <c r="X89" s="173" t="s">
        <v>83</v>
      </c>
      <c r="Y89" s="173" t="s">
        <v>83</v>
      </c>
      <c r="Z89" s="173" t="s">
        <v>83</v>
      </c>
      <c r="AA89" s="173" t="s">
        <v>83</v>
      </c>
      <c r="AB89" s="173" t="s">
        <v>83</v>
      </c>
      <c r="AC89" s="173" t="s">
        <v>83</v>
      </c>
      <c r="AD89" s="173" t="s">
        <v>83</v>
      </c>
      <c r="AE89" s="173" t="s">
        <v>83</v>
      </c>
      <c r="AF89" s="173" t="s">
        <v>83</v>
      </c>
      <c r="AG89" s="173" t="s">
        <v>83</v>
      </c>
      <c r="AH89" s="173" t="s">
        <v>83</v>
      </c>
      <c r="AI89" s="173" t="s">
        <v>83</v>
      </c>
      <c r="AJ89" s="173" t="s">
        <v>83</v>
      </c>
      <c r="AK89" s="173" t="s">
        <v>83</v>
      </c>
      <c r="AL89" s="141"/>
      <c r="AM89" s="188"/>
      <c r="AN89" s="188"/>
      <c r="AO89" s="188"/>
      <c r="AP89" s="188"/>
      <c r="AQ89" s="188"/>
      <c r="AR89" s="188"/>
      <c r="AS89" s="188"/>
      <c r="AT89" s="188"/>
      <c r="AU89" s="188"/>
      <c r="AV89" s="188"/>
      <c r="AW89" s="188"/>
      <c r="AX89" s="188"/>
      <c r="AY89" s="188"/>
      <c r="AZ89" s="188"/>
      <c r="BA89" s="188"/>
      <c r="BB89" s="188"/>
      <c r="BC89" s="188"/>
      <c r="BD89" s="188"/>
      <c r="BE89" s="188"/>
      <c r="BF89" s="188"/>
      <c r="BG89" s="188"/>
      <c r="BH89" s="188"/>
      <c r="BI89" s="188"/>
      <c r="BJ89" s="188"/>
      <c r="BK89" s="188"/>
      <c r="BL89" s="188"/>
      <c r="BM89" s="188"/>
      <c r="BN89" s="188"/>
      <c r="BO89" s="188"/>
      <c r="BP89" s="188"/>
    </row>
    <row r="90" spans="2:68" x14ac:dyDescent="0.15">
      <c r="B90" s="170">
        <v>11695</v>
      </c>
      <c r="C90" s="170" t="s">
        <v>545</v>
      </c>
      <c r="D90" s="170" t="s">
        <v>453</v>
      </c>
      <c r="E90" s="170" t="s">
        <v>454</v>
      </c>
      <c r="F90" s="170" t="s">
        <v>546</v>
      </c>
      <c r="G90" s="170" t="s">
        <v>232</v>
      </c>
      <c r="H90" s="170">
        <v>55</v>
      </c>
      <c r="I90" s="169"/>
      <c r="J90" s="170" t="s">
        <v>83</v>
      </c>
      <c r="K90" s="171" t="s">
        <v>83</v>
      </c>
      <c r="L90" s="171" t="s">
        <v>83</v>
      </c>
      <c r="M90" s="171" t="s">
        <v>83</v>
      </c>
      <c r="N90" s="171" t="s">
        <v>83</v>
      </c>
      <c r="O90" s="171" t="s">
        <v>83</v>
      </c>
      <c r="P90" s="171" t="s">
        <v>83</v>
      </c>
      <c r="Q90" s="171" t="s">
        <v>83</v>
      </c>
      <c r="R90" s="171" t="s">
        <v>83</v>
      </c>
      <c r="S90" s="171" t="s">
        <v>83</v>
      </c>
      <c r="T90" s="171" t="s">
        <v>83</v>
      </c>
      <c r="U90" s="171" t="s">
        <v>83</v>
      </c>
      <c r="V90" s="171" t="s">
        <v>83</v>
      </c>
      <c r="W90" s="171" t="s">
        <v>83</v>
      </c>
      <c r="X90" s="171" t="s">
        <v>83</v>
      </c>
      <c r="Y90" s="171" t="s">
        <v>83</v>
      </c>
      <c r="Z90" s="171" t="s">
        <v>83</v>
      </c>
      <c r="AA90" s="171" t="s">
        <v>83</v>
      </c>
      <c r="AB90" s="171" t="s">
        <v>83</v>
      </c>
      <c r="AC90" s="171" t="s">
        <v>83</v>
      </c>
      <c r="AD90" s="171" t="s">
        <v>83</v>
      </c>
      <c r="AE90" s="171" t="s">
        <v>83</v>
      </c>
      <c r="AF90" s="171" t="s">
        <v>83</v>
      </c>
      <c r="AG90" s="171" t="s">
        <v>83</v>
      </c>
      <c r="AH90" s="171" t="s">
        <v>83</v>
      </c>
      <c r="AI90" s="171" t="s">
        <v>83</v>
      </c>
      <c r="AJ90" s="171" t="s">
        <v>83</v>
      </c>
      <c r="AK90" s="171" t="s">
        <v>83</v>
      </c>
      <c r="AL90" s="141"/>
      <c r="AM90" s="188"/>
      <c r="AN90" s="188"/>
      <c r="AO90" s="188"/>
      <c r="AP90" s="188"/>
      <c r="AQ90" s="188"/>
      <c r="AR90" s="188"/>
      <c r="AS90" s="188"/>
      <c r="AT90" s="188"/>
      <c r="AU90" s="188"/>
      <c r="AV90" s="188"/>
      <c r="AW90" s="188"/>
      <c r="AX90" s="188"/>
      <c r="AY90" s="188"/>
      <c r="AZ90" s="188"/>
      <c r="BA90" s="188"/>
      <c r="BB90" s="188"/>
      <c r="BC90" s="188"/>
      <c r="BD90" s="188"/>
      <c r="BE90" s="188"/>
      <c r="BF90" s="188"/>
      <c r="BG90" s="188"/>
      <c r="BH90" s="188"/>
      <c r="BI90" s="188"/>
      <c r="BJ90" s="188"/>
      <c r="BK90" s="188"/>
      <c r="BL90" s="188"/>
      <c r="BM90" s="188"/>
      <c r="BN90" s="188"/>
      <c r="BO90" s="188"/>
      <c r="BP90" s="188"/>
    </row>
    <row r="91" spans="2:68" x14ac:dyDescent="0.15">
      <c r="B91" s="141">
        <v>18226</v>
      </c>
      <c r="C91" s="141" t="s">
        <v>547</v>
      </c>
      <c r="D91" s="141" t="s">
        <v>453</v>
      </c>
      <c r="E91" s="141" t="s">
        <v>454</v>
      </c>
      <c r="F91" s="141" t="s">
        <v>548</v>
      </c>
      <c r="G91" s="141" t="s">
        <v>168</v>
      </c>
      <c r="H91" s="141">
        <v>22</v>
      </c>
      <c r="I91" s="172"/>
      <c r="J91" s="141" t="s">
        <v>83</v>
      </c>
      <c r="K91" s="173" t="s">
        <v>83</v>
      </c>
      <c r="L91" s="173" t="s">
        <v>83</v>
      </c>
      <c r="M91" s="173" t="s">
        <v>83</v>
      </c>
      <c r="N91" s="173" t="s">
        <v>83</v>
      </c>
      <c r="O91" s="173" t="s">
        <v>83</v>
      </c>
      <c r="P91" s="173" t="s">
        <v>83</v>
      </c>
      <c r="Q91" s="173" t="s">
        <v>88</v>
      </c>
      <c r="R91" s="173" t="s">
        <v>83</v>
      </c>
      <c r="S91" s="173" t="s">
        <v>83</v>
      </c>
      <c r="T91" s="173" t="s">
        <v>83</v>
      </c>
      <c r="U91" s="173" t="s">
        <v>83</v>
      </c>
      <c r="V91" s="173" t="s">
        <v>83</v>
      </c>
      <c r="W91" s="173" t="s">
        <v>83</v>
      </c>
      <c r="X91" s="173" t="s">
        <v>83</v>
      </c>
      <c r="Y91" s="173" t="s">
        <v>83</v>
      </c>
      <c r="Z91" s="173" t="s">
        <v>83</v>
      </c>
      <c r="AA91" s="173" t="s">
        <v>83</v>
      </c>
      <c r="AB91" s="173" t="s">
        <v>83</v>
      </c>
      <c r="AC91" s="173" t="s">
        <v>115</v>
      </c>
      <c r="AD91" s="173" t="s">
        <v>83</v>
      </c>
      <c r="AE91" s="173" t="s">
        <v>83</v>
      </c>
      <c r="AF91" s="173" t="s">
        <v>83</v>
      </c>
      <c r="AG91" s="173" t="s">
        <v>83</v>
      </c>
      <c r="AH91" s="173" t="s">
        <v>115</v>
      </c>
      <c r="AI91" s="173" t="s">
        <v>83</v>
      </c>
      <c r="AJ91" s="173" t="s">
        <v>83</v>
      </c>
      <c r="AK91" s="173" t="s">
        <v>83</v>
      </c>
      <c r="AL91" s="141"/>
      <c r="AM91" s="188"/>
      <c r="AN91" s="188"/>
      <c r="AO91" s="188"/>
      <c r="AP91" s="188"/>
      <c r="AQ91" s="188"/>
      <c r="AR91" s="188"/>
      <c r="AS91" s="188"/>
      <c r="AT91" s="188"/>
      <c r="AU91" s="188"/>
      <c r="AV91" s="188"/>
      <c r="AW91" s="188"/>
      <c r="AX91" s="188"/>
      <c r="AY91" s="188"/>
      <c r="AZ91" s="188"/>
      <c r="BA91" s="188"/>
      <c r="BB91" s="188"/>
      <c r="BC91" s="188"/>
      <c r="BD91" s="188"/>
      <c r="BE91" s="188"/>
      <c r="BF91" s="188"/>
      <c r="BG91" s="188"/>
      <c r="BH91" s="188"/>
      <c r="BI91" s="188"/>
      <c r="BJ91" s="188"/>
      <c r="BK91" s="188"/>
      <c r="BL91" s="188"/>
      <c r="BM91" s="188"/>
      <c r="BN91" s="188"/>
      <c r="BO91" s="188"/>
      <c r="BP91" s="188"/>
    </row>
    <row r="92" spans="2:68" x14ac:dyDescent="0.15">
      <c r="B92" s="170">
        <v>18218</v>
      </c>
      <c r="C92" s="170" t="s">
        <v>549</v>
      </c>
      <c r="D92" s="170" t="s">
        <v>453</v>
      </c>
      <c r="E92" s="170" t="s">
        <v>454</v>
      </c>
      <c r="F92" s="170" t="s">
        <v>550</v>
      </c>
      <c r="G92" s="170" t="s">
        <v>206</v>
      </c>
      <c r="H92" s="170">
        <v>42</v>
      </c>
      <c r="I92" s="169"/>
      <c r="J92" s="170"/>
      <c r="K92" s="171"/>
      <c r="L92" s="171"/>
      <c r="M92" s="171"/>
      <c r="N92" s="171"/>
      <c r="O92" s="171"/>
      <c r="P92" s="171"/>
      <c r="Q92" s="171"/>
      <c r="R92" s="171"/>
      <c r="S92" s="171"/>
      <c r="T92" s="171"/>
      <c r="U92" s="171"/>
      <c r="V92" s="171"/>
      <c r="W92" s="171"/>
      <c r="X92" s="171"/>
      <c r="Y92" s="171"/>
      <c r="Z92" s="171"/>
      <c r="AA92" s="171"/>
      <c r="AB92" s="171"/>
      <c r="AC92" s="171"/>
      <c r="AD92" s="171"/>
      <c r="AE92" s="171"/>
      <c r="AF92" s="171"/>
      <c r="AG92" s="171"/>
      <c r="AH92" s="171"/>
      <c r="AI92" s="171"/>
      <c r="AJ92" s="171"/>
      <c r="AK92" s="171"/>
      <c r="AL92" s="141"/>
      <c r="AM92" s="188"/>
      <c r="AN92" s="188"/>
      <c r="AO92" s="188"/>
      <c r="AP92" s="188"/>
      <c r="AQ92" s="188"/>
      <c r="AR92" s="188"/>
      <c r="AS92" s="188"/>
      <c r="AT92" s="188"/>
      <c r="AU92" s="188"/>
      <c r="AV92" s="188"/>
      <c r="AW92" s="188"/>
      <c r="AX92" s="188"/>
      <c r="AY92" s="188"/>
      <c r="AZ92" s="188"/>
      <c r="BA92" s="188"/>
      <c r="BB92" s="188"/>
      <c r="BC92" s="188"/>
      <c r="BD92" s="188"/>
      <c r="BE92" s="188"/>
      <c r="BF92" s="188"/>
      <c r="BG92" s="188"/>
      <c r="BH92" s="188"/>
      <c r="BI92" s="188"/>
      <c r="BJ92" s="188"/>
      <c r="BK92" s="188"/>
      <c r="BL92" s="188"/>
      <c r="BM92" s="188"/>
      <c r="BN92" s="188"/>
      <c r="BO92" s="188"/>
      <c r="BP92" s="188"/>
    </row>
    <row r="93" spans="2:68" x14ac:dyDescent="0.15">
      <c r="B93" s="141">
        <v>2027</v>
      </c>
      <c r="C93" s="141" t="s">
        <v>551</v>
      </c>
      <c r="D93" s="141" t="s">
        <v>453</v>
      </c>
      <c r="E93" s="141" t="s">
        <v>454</v>
      </c>
      <c r="F93" s="141" t="s">
        <v>552</v>
      </c>
      <c r="G93" s="141" t="s">
        <v>110</v>
      </c>
      <c r="H93" s="141">
        <v>45</v>
      </c>
      <c r="I93" s="172"/>
      <c r="J93" s="141" t="s">
        <v>83</v>
      </c>
      <c r="K93" s="173" t="s">
        <v>83</v>
      </c>
      <c r="L93" s="173" t="s">
        <v>83</v>
      </c>
      <c r="M93" s="173" t="s">
        <v>83</v>
      </c>
      <c r="N93" s="173" t="s">
        <v>83</v>
      </c>
      <c r="O93" s="173" t="s">
        <v>83</v>
      </c>
      <c r="P93" s="173" t="s">
        <v>83</v>
      </c>
      <c r="Q93" s="173" t="s">
        <v>83</v>
      </c>
      <c r="R93" s="173" t="s">
        <v>83</v>
      </c>
      <c r="S93" s="173" t="s">
        <v>83</v>
      </c>
      <c r="T93" s="173" t="s">
        <v>83</v>
      </c>
      <c r="U93" s="173" t="s">
        <v>83</v>
      </c>
      <c r="V93" s="173" t="s">
        <v>83</v>
      </c>
      <c r="W93" s="173" t="s">
        <v>83</v>
      </c>
      <c r="X93" s="173" t="s">
        <v>83</v>
      </c>
      <c r="Y93" s="173" t="s">
        <v>83</v>
      </c>
      <c r="Z93" s="173" t="s">
        <v>83</v>
      </c>
      <c r="AA93" s="173" t="s">
        <v>83</v>
      </c>
      <c r="AB93" s="173" t="s">
        <v>83</v>
      </c>
      <c r="AC93" s="173" t="s">
        <v>83</v>
      </c>
      <c r="AD93" s="173" t="s">
        <v>83</v>
      </c>
      <c r="AE93" s="173" t="s">
        <v>83</v>
      </c>
      <c r="AF93" s="173" t="s">
        <v>83</v>
      </c>
      <c r="AG93" s="173" t="s">
        <v>83</v>
      </c>
      <c r="AH93" s="173" t="s">
        <v>83</v>
      </c>
      <c r="AI93" s="173" t="s">
        <v>83</v>
      </c>
      <c r="AJ93" s="173" t="s">
        <v>83</v>
      </c>
      <c r="AK93" s="173" t="s">
        <v>83</v>
      </c>
      <c r="AL93" s="141"/>
      <c r="AM93" s="188"/>
      <c r="AN93" s="188"/>
      <c r="AO93" s="188"/>
      <c r="AP93" s="188"/>
      <c r="AQ93" s="188"/>
      <c r="AR93" s="188"/>
      <c r="AS93" s="188"/>
      <c r="AT93" s="188"/>
      <c r="AU93" s="188"/>
      <c r="AV93" s="188"/>
      <c r="AW93" s="188"/>
      <c r="AX93" s="188"/>
      <c r="AY93" s="188"/>
      <c r="AZ93" s="188"/>
      <c r="BA93" s="188"/>
      <c r="BB93" s="188"/>
      <c r="BC93" s="188"/>
      <c r="BD93" s="188"/>
      <c r="BE93" s="188"/>
      <c r="BF93" s="188"/>
      <c r="BG93" s="188"/>
      <c r="BH93" s="188"/>
      <c r="BI93" s="188"/>
      <c r="BJ93" s="188"/>
      <c r="BK93" s="188"/>
      <c r="BL93" s="188"/>
      <c r="BM93" s="188"/>
      <c r="BN93" s="188"/>
      <c r="BO93" s="188"/>
      <c r="BP93" s="188"/>
    </row>
    <row r="94" spans="2:68" x14ac:dyDescent="0.15">
      <c r="B94" s="170">
        <v>11701</v>
      </c>
      <c r="C94" s="170" t="s">
        <v>553</v>
      </c>
      <c r="D94" s="170" t="s">
        <v>453</v>
      </c>
      <c r="E94" s="170" t="s">
        <v>454</v>
      </c>
      <c r="F94" s="170" t="s">
        <v>554</v>
      </c>
      <c r="G94" s="170" t="s">
        <v>168</v>
      </c>
      <c r="H94" s="170">
        <v>25</v>
      </c>
      <c r="I94" s="169"/>
      <c r="J94" s="170"/>
      <c r="K94" s="171"/>
      <c r="L94" s="171"/>
      <c r="M94" s="171"/>
      <c r="N94" s="171"/>
      <c r="O94" s="171"/>
      <c r="P94" s="171"/>
      <c r="Q94" s="171"/>
      <c r="R94" s="171"/>
      <c r="S94" s="171"/>
      <c r="T94" s="171"/>
      <c r="U94" s="171"/>
      <c r="V94" s="171"/>
      <c r="W94" s="171"/>
      <c r="X94" s="171"/>
      <c r="Y94" s="171"/>
      <c r="Z94" s="171"/>
      <c r="AA94" s="171"/>
      <c r="AB94" s="171"/>
      <c r="AC94" s="171"/>
      <c r="AD94" s="171"/>
      <c r="AE94" s="171"/>
      <c r="AF94" s="171"/>
      <c r="AG94" s="171"/>
      <c r="AH94" s="171"/>
      <c r="AI94" s="171"/>
      <c r="AJ94" s="171"/>
      <c r="AK94" s="171"/>
      <c r="AL94" s="141"/>
      <c r="AM94" s="188"/>
      <c r="AN94" s="188"/>
      <c r="AO94" s="188"/>
      <c r="AP94" s="188"/>
      <c r="AQ94" s="188"/>
      <c r="AR94" s="188"/>
      <c r="AS94" s="188"/>
      <c r="AT94" s="188"/>
      <c r="AU94" s="188"/>
      <c r="AV94" s="188"/>
      <c r="AW94" s="188"/>
      <c r="AX94" s="188"/>
      <c r="AY94" s="188"/>
      <c r="AZ94" s="188"/>
      <c r="BA94" s="188"/>
      <c r="BB94" s="188"/>
      <c r="BC94" s="188"/>
      <c r="BD94" s="188"/>
      <c r="BE94" s="188"/>
      <c r="BF94" s="188"/>
      <c r="BG94" s="188"/>
      <c r="BH94" s="188"/>
      <c r="BI94" s="188"/>
      <c r="BJ94" s="188"/>
      <c r="BK94" s="188"/>
      <c r="BL94" s="188"/>
      <c r="BM94" s="188"/>
      <c r="BN94" s="188"/>
      <c r="BO94" s="188"/>
      <c r="BP94" s="188"/>
    </row>
    <row r="95" spans="2:68" x14ac:dyDescent="0.15">
      <c r="B95" s="141">
        <v>11702</v>
      </c>
      <c r="C95" s="141" t="s">
        <v>555</v>
      </c>
      <c r="D95" s="141" t="s">
        <v>453</v>
      </c>
      <c r="E95" s="141" t="s">
        <v>454</v>
      </c>
      <c r="F95" s="141" t="s">
        <v>556</v>
      </c>
      <c r="G95" s="141" t="s">
        <v>557</v>
      </c>
      <c r="H95" s="141">
        <v>52</v>
      </c>
      <c r="I95" s="172"/>
      <c r="J95" s="141"/>
      <c r="K95" s="173"/>
      <c r="L95" s="173"/>
      <c r="M95" s="173"/>
      <c r="N95" s="173"/>
      <c r="O95" s="173"/>
      <c r="P95" s="173"/>
      <c r="Q95" s="173"/>
      <c r="R95" s="173"/>
      <c r="S95" s="173"/>
      <c r="T95" s="173"/>
      <c r="U95" s="173"/>
      <c r="V95" s="173"/>
      <c r="W95" s="173"/>
      <c r="X95" s="173"/>
      <c r="Y95" s="173"/>
      <c r="Z95" s="173"/>
      <c r="AA95" s="173"/>
      <c r="AB95" s="173"/>
      <c r="AC95" s="173"/>
      <c r="AD95" s="173"/>
      <c r="AE95" s="173"/>
      <c r="AF95" s="173"/>
      <c r="AG95" s="173"/>
      <c r="AH95" s="173"/>
      <c r="AI95" s="173"/>
      <c r="AJ95" s="173"/>
      <c r="AK95" s="173"/>
      <c r="AL95" s="141"/>
      <c r="AM95" s="188"/>
      <c r="AN95" s="188"/>
      <c r="AO95" s="188"/>
      <c r="AP95" s="188"/>
      <c r="AQ95" s="188"/>
      <c r="AR95" s="188"/>
      <c r="AS95" s="188"/>
      <c r="AT95" s="188"/>
      <c r="AU95" s="188"/>
      <c r="AV95" s="188"/>
      <c r="AW95" s="188"/>
      <c r="AX95" s="188"/>
      <c r="AY95" s="188"/>
      <c r="AZ95" s="188"/>
      <c r="BA95" s="188"/>
      <c r="BB95" s="188"/>
      <c r="BC95" s="188"/>
      <c r="BD95" s="188"/>
      <c r="BE95" s="188"/>
      <c r="BF95" s="188"/>
      <c r="BG95" s="188"/>
      <c r="BH95" s="188"/>
      <c r="BI95" s="188"/>
      <c r="BJ95" s="188"/>
      <c r="BK95" s="188"/>
      <c r="BL95" s="188"/>
      <c r="BM95" s="188"/>
      <c r="BN95" s="188"/>
      <c r="BO95" s="188"/>
      <c r="BP95" s="188"/>
    </row>
    <row r="96" spans="2:68" x14ac:dyDescent="0.15">
      <c r="B96" s="170">
        <v>44871</v>
      </c>
      <c r="C96" s="170" t="s">
        <v>558</v>
      </c>
      <c r="D96" s="170" t="s">
        <v>453</v>
      </c>
      <c r="E96" s="170" t="s">
        <v>454</v>
      </c>
      <c r="F96" s="170" t="s">
        <v>559</v>
      </c>
      <c r="G96" s="170" t="s">
        <v>560</v>
      </c>
      <c r="H96" s="170">
        <v>20</v>
      </c>
      <c r="I96" s="169"/>
      <c r="J96" s="170" t="s">
        <v>83</v>
      </c>
      <c r="K96" s="171" t="s">
        <v>83</v>
      </c>
      <c r="L96" s="171" t="s">
        <v>83</v>
      </c>
      <c r="M96" s="171" t="s">
        <v>83</v>
      </c>
      <c r="N96" s="171" t="s">
        <v>83</v>
      </c>
      <c r="O96" s="171" t="s">
        <v>83</v>
      </c>
      <c r="P96" s="171" t="s">
        <v>83</v>
      </c>
      <c r="Q96" s="171" t="s">
        <v>83</v>
      </c>
      <c r="R96" s="171" t="s">
        <v>83</v>
      </c>
      <c r="S96" s="171" t="s">
        <v>83</v>
      </c>
      <c r="T96" s="171" t="s">
        <v>83</v>
      </c>
      <c r="U96" s="171" t="s">
        <v>83</v>
      </c>
      <c r="V96" s="171" t="s">
        <v>83</v>
      </c>
      <c r="W96" s="171" t="s">
        <v>83</v>
      </c>
      <c r="X96" s="171" t="s">
        <v>83</v>
      </c>
      <c r="Y96" s="171" t="s">
        <v>83</v>
      </c>
      <c r="Z96" s="171" t="s">
        <v>83</v>
      </c>
      <c r="AA96" s="171" t="s">
        <v>83</v>
      </c>
      <c r="AB96" s="171" t="s">
        <v>83</v>
      </c>
      <c r="AC96" s="171" t="s">
        <v>83</v>
      </c>
      <c r="AD96" s="171" t="s">
        <v>83</v>
      </c>
      <c r="AE96" s="171" t="s">
        <v>83</v>
      </c>
      <c r="AF96" s="171" t="s">
        <v>83</v>
      </c>
      <c r="AG96" s="171" t="s">
        <v>83</v>
      </c>
      <c r="AH96" s="171" t="s">
        <v>83</v>
      </c>
      <c r="AI96" s="171" t="s">
        <v>83</v>
      </c>
      <c r="AJ96" s="171" t="s">
        <v>83</v>
      </c>
      <c r="AK96" s="171" t="s">
        <v>83</v>
      </c>
      <c r="AL96" s="141"/>
      <c r="AM96" s="188"/>
      <c r="AN96" s="188"/>
      <c r="AO96" s="188"/>
      <c r="AP96" s="188"/>
      <c r="AQ96" s="188"/>
      <c r="AR96" s="188"/>
      <c r="AS96" s="188"/>
      <c r="AT96" s="188"/>
      <c r="AU96" s="188"/>
      <c r="AV96" s="188"/>
      <c r="AW96" s="188"/>
      <c r="AX96" s="188"/>
      <c r="AY96" s="188"/>
      <c r="AZ96" s="188"/>
      <c r="BA96" s="188"/>
      <c r="BB96" s="188"/>
      <c r="BC96" s="188"/>
      <c r="BD96" s="188"/>
      <c r="BE96" s="188"/>
      <c r="BF96" s="188"/>
      <c r="BG96" s="188"/>
      <c r="BH96" s="188"/>
      <c r="BI96" s="188"/>
      <c r="BJ96" s="188"/>
      <c r="BK96" s="188"/>
      <c r="BL96" s="188"/>
      <c r="BM96" s="188"/>
      <c r="BN96" s="188"/>
      <c r="BO96" s="188"/>
      <c r="BP96" s="188"/>
    </row>
    <row r="97" spans="1:68" x14ac:dyDescent="0.15">
      <c r="B97" s="141">
        <v>3961</v>
      </c>
      <c r="C97" s="141" t="s">
        <v>561</v>
      </c>
      <c r="D97" s="141" t="s">
        <v>453</v>
      </c>
      <c r="E97" s="141" t="s">
        <v>454</v>
      </c>
      <c r="F97" s="141" t="s">
        <v>562</v>
      </c>
      <c r="G97" s="141" t="s">
        <v>563</v>
      </c>
      <c r="H97" s="141">
        <v>67</v>
      </c>
      <c r="I97" s="172"/>
      <c r="J97" s="141"/>
      <c r="K97" s="173"/>
      <c r="L97" s="173"/>
      <c r="M97" s="173"/>
      <c r="N97" s="173"/>
      <c r="O97" s="173"/>
      <c r="P97" s="173"/>
      <c r="Q97" s="173"/>
      <c r="R97" s="173"/>
      <c r="S97" s="173"/>
      <c r="T97" s="173"/>
      <c r="U97" s="173"/>
      <c r="V97" s="173"/>
      <c r="W97" s="173"/>
      <c r="X97" s="173"/>
      <c r="Y97" s="173"/>
      <c r="Z97" s="173"/>
      <c r="AA97" s="173"/>
      <c r="AB97" s="173"/>
      <c r="AC97" s="173"/>
      <c r="AD97" s="173"/>
      <c r="AE97" s="173"/>
      <c r="AF97" s="173"/>
      <c r="AG97" s="173"/>
      <c r="AH97" s="173"/>
      <c r="AI97" s="173"/>
      <c r="AJ97" s="173"/>
      <c r="AK97" s="173"/>
      <c r="AL97" s="141"/>
      <c r="AM97" s="188"/>
      <c r="AN97" s="188"/>
      <c r="AO97" s="188"/>
      <c r="AP97" s="188"/>
      <c r="AQ97" s="188"/>
      <c r="AR97" s="188"/>
      <c r="AS97" s="188"/>
      <c r="AT97" s="188"/>
      <c r="AU97" s="188"/>
      <c r="AV97" s="188"/>
      <c r="AW97" s="188"/>
      <c r="AX97" s="188"/>
      <c r="AY97" s="188"/>
      <c r="AZ97" s="188"/>
      <c r="BA97" s="188"/>
      <c r="BB97" s="188"/>
      <c r="BC97" s="188"/>
      <c r="BD97" s="188"/>
      <c r="BE97" s="188"/>
      <c r="BF97" s="188"/>
      <c r="BG97" s="188"/>
      <c r="BH97" s="188"/>
      <c r="BI97" s="188"/>
      <c r="BJ97" s="188"/>
      <c r="BK97" s="188"/>
      <c r="BL97" s="188"/>
      <c r="BM97" s="188"/>
      <c r="BN97" s="188"/>
      <c r="BO97" s="188"/>
      <c r="BP97" s="188"/>
    </row>
    <row r="98" spans="1:68" x14ac:dyDescent="0.15">
      <c r="B98" s="170">
        <v>7188</v>
      </c>
      <c r="C98" s="170" t="s">
        <v>564</v>
      </c>
      <c r="D98" s="170" t="s">
        <v>453</v>
      </c>
      <c r="E98" s="170" t="s">
        <v>454</v>
      </c>
      <c r="F98" s="170" t="s">
        <v>528</v>
      </c>
      <c r="G98" s="170" t="s">
        <v>258</v>
      </c>
      <c r="H98" s="170">
        <v>51</v>
      </c>
      <c r="I98" s="169"/>
      <c r="J98" s="170" t="s">
        <v>83</v>
      </c>
      <c r="K98" s="171" t="s">
        <v>83</v>
      </c>
      <c r="L98" s="171" t="s">
        <v>83</v>
      </c>
      <c r="M98" s="171" t="s">
        <v>83</v>
      </c>
      <c r="N98" s="171" t="s">
        <v>83</v>
      </c>
      <c r="O98" s="171" t="s">
        <v>83</v>
      </c>
      <c r="P98" s="171" t="s">
        <v>83</v>
      </c>
      <c r="Q98" s="171" t="s">
        <v>83</v>
      </c>
      <c r="R98" s="171" t="s">
        <v>83</v>
      </c>
      <c r="S98" s="171" t="s">
        <v>83</v>
      </c>
      <c r="T98" s="171" t="s">
        <v>83</v>
      </c>
      <c r="U98" s="171" t="s">
        <v>83</v>
      </c>
      <c r="V98" s="171" t="s">
        <v>83</v>
      </c>
      <c r="W98" s="171" t="s">
        <v>83</v>
      </c>
      <c r="X98" s="171" t="s">
        <v>83</v>
      </c>
      <c r="Y98" s="171" t="s">
        <v>83</v>
      </c>
      <c r="Z98" s="171" t="s">
        <v>83</v>
      </c>
      <c r="AA98" s="171" t="s">
        <v>83</v>
      </c>
      <c r="AB98" s="171" t="s">
        <v>83</v>
      </c>
      <c r="AC98" s="171" t="s">
        <v>83</v>
      </c>
      <c r="AD98" s="171" t="s">
        <v>83</v>
      </c>
      <c r="AE98" s="171" t="s">
        <v>83</v>
      </c>
      <c r="AF98" s="171" t="s">
        <v>83</v>
      </c>
      <c r="AG98" s="171" t="s">
        <v>83</v>
      </c>
      <c r="AH98" s="171" t="s">
        <v>83</v>
      </c>
      <c r="AI98" s="171" t="s">
        <v>83</v>
      </c>
      <c r="AJ98" s="171" t="s">
        <v>83</v>
      </c>
      <c r="AK98" s="171" t="s">
        <v>83</v>
      </c>
      <c r="AL98" s="141"/>
      <c r="AM98" s="188"/>
      <c r="AN98" s="188"/>
      <c r="AO98" s="188"/>
      <c r="AP98" s="188"/>
      <c r="AQ98" s="188"/>
      <c r="AR98" s="188"/>
      <c r="AS98" s="188"/>
      <c r="AT98" s="188"/>
      <c r="AU98" s="188"/>
      <c r="AV98" s="188"/>
      <c r="AW98" s="188"/>
      <c r="AX98" s="188"/>
      <c r="AY98" s="188"/>
      <c r="AZ98" s="188"/>
      <c r="BA98" s="188"/>
      <c r="BB98" s="188"/>
      <c r="BC98" s="188"/>
      <c r="BD98" s="188"/>
      <c r="BE98" s="188"/>
      <c r="BF98" s="188"/>
      <c r="BG98" s="188"/>
      <c r="BH98" s="188"/>
      <c r="BI98" s="188"/>
      <c r="BJ98" s="188"/>
      <c r="BK98" s="188"/>
      <c r="BL98" s="188"/>
      <c r="BM98" s="188"/>
      <c r="BN98" s="188"/>
      <c r="BO98" s="188"/>
      <c r="BP98" s="188"/>
    </row>
    <row r="99" spans="1:68" x14ac:dyDescent="0.15">
      <c r="B99" s="141">
        <v>7190</v>
      </c>
      <c r="C99" s="141" t="s">
        <v>565</v>
      </c>
      <c r="D99" s="141" t="s">
        <v>453</v>
      </c>
      <c r="E99" s="141" t="s">
        <v>454</v>
      </c>
      <c r="F99" s="141" t="s">
        <v>544</v>
      </c>
      <c r="G99" s="141" t="s">
        <v>544</v>
      </c>
      <c r="H99" s="141">
        <v>104</v>
      </c>
      <c r="I99" s="172"/>
      <c r="J99" s="141" t="s">
        <v>83</v>
      </c>
      <c r="K99" s="173" t="s">
        <v>83</v>
      </c>
      <c r="L99" s="173" t="s">
        <v>83</v>
      </c>
      <c r="M99" s="173" t="s">
        <v>83</v>
      </c>
      <c r="N99" s="173" t="s">
        <v>83</v>
      </c>
      <c r="O99" s="173" t="s">
        <v>83</v>
      </c>
      <c r="P99" s="173" t="s">
        <v>83</v>
      </c>
      <c r="Q99" s="173" t="s">
        <v>83</v>
      </c>
      <c r="R99" s="173" t="s">
        <v>83</v>
      </c>
      <c r="S99" s="173" t="s">
        <v>83</v>
      </c>
      <c r="T99" s="173" t="s">
        <v>83</v>
      </c>
      <c r="U99" s="173" t="s">
        <v>83</v>
      </c>
      <c r="V99" s="173" t="s">
        <v>83</v>
      </c>
      <c r="W99" s="173" t="s">
        <v>83</v>
      </c>
      <c r="X99" s="173" t="s">
        <v>83</v>
      </c>
      <c r="Y99" s="173" t="s">
        <v>83</v>
      </c>
      <c r="Z99" s="173" t="s">
        <v>83</v>
      </c>
      <c r="AA99" s="173" t="s">
        <v>83</v>
      </c>
      <c r="AB99" s="173" t="s">
        <v>83</v>
      </c>
      <c r="AC99" s="173" t="s">
        <v>83</v>
      </c>
      <c r="AD99" s="173" t="s">
        <v>88</v>
      </c>
      <c r="AE99" s="173" t="s">
        <v>83</v>
      </c>
      <c r="AF99" s="173" t="s">
        <v>83</v>
      </c>
      <c r="AG99" s="173" t="s">
        <v>83</v>
      </c>
      <c r="AH99" s="173" t="s">
        <v>83</v>
      </c>
      <c r="AI99" s="173" t="s">
        <v>83</v>
      </c>
      <c r="AJ99" s="173" t="s">
        <v>83</v>
      </c>
      <c r="AK99" s="173" t="s">
        <v>83</v>
      </c>
      <c r="AL99" s="141"/>
      <c r="AM99" s="188"/>
      <c r="AN99" s="188"/>
      <c r="AO99" s="188"/>
      <c r="AP99" s="188"/>
      <c r="AQ99" s="188"/>
      <c r="AR99" s="188"/>
      <c r="AS99" s="188"/>
      <c r="AT99" s="188"/>
      <c r="AU99" s="188"/>
      <c r="AV99" s="188"/>
      <c r="AW99" s="188"/>
      <c r="AX99" s="188"/>
      <c r="AY99" s="188"/>
      <c r="AZ99" s="188"/>
      <c r="BA99" s="188"/>
      <c r="BB99" s="188"/>
      <c r="BC99" s="188"/>
      <c r="BD99" s="188"/>
      <c r="BE99" s="188"/>
      <c r="BF99" s="188"/>
      <c r="BG99" s="188"/>
      <c r="BH99" s="188"/>
      <c r="BI99" s="188"/>
      <c r="BJ99" s="188"/>
      <c r="BK99" s="188"/>
      <c r="BL99" s="188"/>
      <c r="BM99" s="188"/>
      <c r="BN99" s="188"/>
      <c r="BO99" s="188"/>
      <c r="BP99" s="188"/>
    </row>
    <row r="100" spans="1:68" x14ac:dyDescent="0.15">
      <c r="B100" s="170">
        <v>2029</v>
      </c>
      <c r="C100" s="170" t="s">
        <v>566</v>
      </c>
      <c r="D100" s="170" t="s">
        <v>453</v>
      </c>
      <c r="E100" s="170" t="s">
        <v>454</v>
      </c>
      <c r="F100" s="170" t="s">
        <v>567</v>
      </c>
      <c r="G100" s="170" t="s">
        <v>82</v>
      </c>
      <c r="H100" s="170">
        <v>70</v>
      </c>
      <c r="I100" s="169"/>
      <c r="J100" s="170" t="s">
        <v>83</v>
      </c>
      <c r="K100" s="171" t="s">
        <v>83</v>
      </c>
      <c r="L100" s="171" t="s">
        <v>83</v>
      </c>
      <c r="M100" s="171" t="s">
        <v>83</v>
      </c>
      <c r="N100" s="171" t="s">
        <v>83</v>
      </c>
      <c r="O100" s="171" t="s">
        <v>83</v>
      </c>
      <c r="P100" s="171" t="s">
        <v>83</v>
      </c>
      <c r="Q100" s="171" t="s">
        <v>83</v>
      </c>
      <c r="R100" s="171" t="s">
        <v>83</v>
      </c>
      <c r="S100" s="171" t="s">
        <v>83</v>
      </c>
      <c r="T100" s="171" t="s">
        <v>83</v>
      </c>
      <c r="U100" s="171" t="s">
        <v>83</v>
      </c>
      <c r="V100" s="171" t="s">
        <v>83</v>
      </c>
      <c r="W100" s="171" t="s">
        <v>83</v>
      </c>
      <c r="X100" s="171" t="s">
        <v>83</v>
      </c>
      <c r="Y100" s="171" t="s">
        <v>83</v>
      </c>
      <c r="Z100" s="171" t="s">
        <v>83</v>
      </c>
      <c r="AA100" s="171" t="s">
        <v>83</v>
      </c>
      <c r="AB100" s="171" t="s">
        <v>83</v>
      </c>
      <c r="AC100" s="171" t="s">
        <v>83</v>
      </c>
      <c r="AD100" s="171" t="s">
        <v>83</v>
      </c>
      <c r="AE100" s="171" t="s">
        <v>83</v>
      </c>
      <c r="AF100" s="171" t="s">
        <v>83</v>
      </c>
      <c r="AG100" s="171" t="s">
        <v>83</v>
      </c>
      <c r="AH100" s="171" t="s">
        <v>83</v>
      </c>
      <c r="AI100" s="171" t="s">
        <v>83</v>
      </c>
      <c r="AJ100" s="171" t="s">
        <v>83</v>
      </c>
      <c r="AK100" s="171" t="s">
        <v>83</v>
      </c>
      <c r="AL100" s="141"/>
      <c r="AM100" s="188"/>
      <c r="AN100" s="188"/>
      <c r="AO100" s="188"/>
      <c r="AP100" s="188"/>
      <c r="AQ100" s="188"/>
      <c r="AR100" s="188"/>
      <c r="AS100" s="188"/>
      <c r="AT100" s="188"/>
      <c r="AU100" s="188"/>
      <c r="AV100" s="188"/>
      <c r="AW100" s="188"/>
      <c r="AX100" s="188"/>
      <c r="AY100" s="188"/>
      <c r="AZ100" s="188"/>
      <c r="BA100" s="188"/>
      <c r="BB100" s="188"/>
      <c r="BC100" s="188"/>
      <c r="BD100" s="188"/>
      <c r="BE100" s="188"/>
      <c r="BF100" s="188"/>
      <c r="BG100" s="188"/>
      <c r="BH100" s="188"/>
      <c r="BI100" s="188"/>
      <c r="BJ100" s="188"/>
      <c r="BK100" s="188"/>
      <c r="BL100" s="188"/>
      <c r="BM100" s="188"/>
      <c r="BN100" s="188"/>
      <c r="BO100" s="188"/>
      <c r="BP100" s="188"/>
    </row>
    <row r="101" spans="1:68" x14ac:dyDescent="0.15">
      <c r="B101" s="141">
        <v>41759</v>
      </c>
      <c r="C101" s="141" t="s">
        <v>568</v>
      </c>
      <c r="D101" s="141" t="s">
        <v>453</v>
      </c>
      <c r="E101" s="141" t="s">
        <v>454</v>
      </c>
      <c r="F101" s="141" t="s">
        <v>197</v>
      </c>
      <c r="G101" s="141" t="s">
        <v>197</v>
      </c>
      <c r="H101" s="141">
        <v>15</v>
      </c>
      <c r="I101" s="172"/>
      <c r="J101" s="141"/>
      <c r="K101" s="173"/>
      <c r="L101" s="173"/>
      <c r="M101" s="173"/>
      <c r="N101" s="173"/>
      <c r="O101" s="173"/>
      <c r="P101" s="173"/>
      <c r="Q101" s="173"/>
      <c r="R101" s="173"/>
      <c r="S101" s="173"/>
      <c r="T101" s="173"/>
      <c r="U101" s="173"/>
      <c r="V101" s="173"/>
      <c r="W101" s="173"/>
      <c r="X101" s="173"/>
      <c r="Y101" s="173"/>
      <c r="Z101" s="173"/>
      <c r="AA101" s="173"/>
      <c r="AB101" s="173"/>
      <c r="AC101" s="173"/>
      <c r="AD101" s="173"/>
      <c r="AE101" s="173"/>
      <c r="AF101" s="173"/>
      <c r="AG101" s="173"/>
      <c r="AH101" s="173"/>
      <c r="AI101" s="173"/>
      <c r="AJ101" s="173"/>
      <c r="AK101" s="173"/>
      <c r="AL101" s="141"/>
      <c r="AM101" s="188"/>
      <c r="AN101" s="188"/>
      <c r="AO101" s="188"/>
      <c r="AP101" s="188"/>
      <c r="AQ101" s="188"/>
      <c r="AR101" s="188"/>
      <c r="AS101" s="188"/>
      <c r="AT101" s="188"/>
      <c r="AU101" s="188"/>
      <c r="AV101" s="188"/>
      <c r="AW101" s="188"/>
      <c r="AX101" s="188"/>
      <c r="AY101" s="188"/>
      <c r="AZ101" s="188"/>
      <c r="BA101" s="188"/>
      <c r="BB101" s="188"/>
      <c r="BC101" s="188"/>
      <c r="BD101" s="188"/>
      <c r="BE101" s="188"/>
      <c r="BF101" s="188"/>
      <c r="BG101" s="188"/>
      <c r="BH101" s="188"/>
      <c r="BI101" s="188"/>
      <c r="BJ101" s="188"/>
      <c r="BK101" s="188"/>
      <c r="BL101" s="188"/>
      <c r="BM101" s="188"/>
      <c r="BN101" s="188"/>
      <c r="BO101" s="188"/>
      <c r="BP101" s="188"/>
    </row>
    <row r="102" spans="1:68" x14ac:dyDescent="0.15">
      <c r="B102" s="170">
        <v>27364</v>
      </c>
      <c r="C102" s="170" t="s">
        <v>569</v>
      </c>
      <c r="D102" s="170" t="s">
        <v>453</v>
      </c>
      <c r="E102" s="170" t="s">
        <v>454</v>
      </c>
      <c r="F102" s="170" t="s">
        <v>570</v>
      </c>
      <c r="G102" s="170" t="s">
        <v>552</v>
      </c>
      <c r="H102" s="170">
        <v>32</v>
      </c>
      <c r="I102" s="169"/>
      <c r="J102" s="170" t="s">
        <v>83</v>
      </c>
      <c r="K102" s="171" t="s">
        <v>83</v>
      </c>
      <c r="L102" s="171" t="s">
        <v>83</v>
      </c>
      <c r="M102" s="171" t="s">
        <v>83</v>
      </c>
      <c r="N102" s="171" t="s">
        <v>83</v>
      </c>
      <c r="O102" s="171" t="s">
        <v>83</v>
      </c>
      <c r="P102" s="171" t="s">
        <v>83</v>
      </c>
      <c r="Q102" s="171" t="s">
        <v>83</v>
      </c>
      <c r="R102" s="171" t="s">
        <v>83</v>
      </c>
      <c r="S102" s="171" t="s">
        <v>83</v>
      </c>
      <c r="T102" s="171" t="s">
        <v>83</v>
      </c>
      <c r="U102" s="171" t="s">
        <v>83</v>
      </c>
      <c r="V102" s="171" t="s">
        <v>83</v>
      </c>
      <c r="W102" s="171" t="s">
        <v>83</v>
      </c>
      <c r="X102" s="171" t="s">
        <v>83</v>
      </c>
      <c r="Y102" s="171" t="s">
        <v>83</v>
      </c>
      <c r="Z102" s="171" t="s">
        <v>83</v>
      </c>
      <c r="AA102" s="171" t="s">
        <v>83</v>
      </c>
      <c r="AB102" s="171" t="s">
        <v>83</v>
      </c>
      <c r="AC102" s="171" t="s">
        <v>83</v>
      </c>
      <c r="AD102" s="171" t="s">
        <v>83</v>
      </c>
      <c r="AE102" s="171" t="s">
        <v>83</v>
      </c>
      <c r="AF102" s="171" t="s">
        <v>83</v>
      </c>
      <c r="AG102" s="171" t="s">
        <v>83</v>
      </c>
      <c r="AH102" s="171" t="s">
        <v>83</v>
      </c>
      <c r="AI102" s="171" t="s">
        <v>83</v>
      </c>
      <c r="AJ102" s="171" t="s">
        <v>83</v>
      </c>
      <c r="AK102" s="171" t="s">
        <v>83</v>
      </c>
      <c r="AL102" s="141"/>
      <c r="AM102" s="188"/>
      <c r="AN102" s="188"/>
      <c r="AO102" s="188"/>
      <c r="AP102" s="188"/>
      <c r="AQ102" s="188"/>
      <c r="AR102" s="188"/>
      <c r="AS102" s="188"/>
      <c r="AT102" s="188"/>
      <c r="AU102" s="188"/>
      <c r="AV102" s="188"/>
      <c r="AW102" s="188"/>
      <c r="AX102" s="188"/>
      <c r="AY102" s="188"/>
      <c r="AZ102" s="188"/>
      <c r="BA102" s="188"/>
      <c r="BB102" s="188"/>
      <c r="BC102" s="188"/>
      <c r="BD102" s="188"/>
      <c r="BE102" s="188"/>
      <c r="BF102" s="188"/>
      <c r="BG102" s="188"/>
      <c r="BH102" s="188"/>
      <c r="BI102" s="188"/>
      <c r="BJ102" s="188"/>
      <c r="BK102" s="188"/>
      <c r="BL102" s="188"/>
      <c r="BM102" s="188"/>
      <c r="BN102" s="188"/>
      <c r="BO102" s="188"/>
      <c r="BP102" s="188"/>
    </row>
    <row r="103" spans="1:68" x14ac:dyDescent="0.15">
      <c r="B103" s="174"/>
      <c r="C103" s="174"/>
      <c r="D103" s="174"/>
      <c r="E103" s="175" t="s">
        <v>114</v>
      </c>
      <c r="F103" s="176"/>
      <c r="G103" s="177">
        <v>95</v>
      </c>
      <c r="H103" s="178">
        <v>5877</v>
      </c>
      <c r="I103" s="174"/>
      <c r="J103" s="179" t="s">
        <v>115</v>
      </c>
      <c r="K103" s="174" t="s">
        <v>116</v>
      </c>
      <c r="L103" s="174"/>
      <c r="M103" s="174"/>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74"/>
      <c r="AK103" s="180"/>
      <c r="AM103" s="188"/>
      <c r="AN103" s="188"/>
      <c r="AO103" s="188"/>
      <c r="AP103" s="188"/>
      <c r="AQ103" s="188"/>
      <c r="AR103" s="188"/>
      <c r="AS103" s="188"/>
      <c r="AT103" s="188"/>
      <c r="AU103" s="188"/>
      <c r="AV103" s="188"/>
      <c r="AW103" s="188"/>
      <c r="AX103" s="188"/>
      <c r="AY103" s="188"/>
      <c r="AZ103" s="188"/>
      <c r="BA103" s="188"/>
      <c r="BB103" s="188"/>
      <c r="BC103" s="188"/>
      <c r="BD103" s="188"/>
      <c r="BE103" s="188"/>
      <c r="BF103" s="188"/>
      <c r="BG103" s="188"/>
      <c r="BH103" s="188"/>
      <c r="BI103" s="188"/>
      <c r="BJ103" s="188"/>
      <c r="BK103" s="188"/>
      <c r="BL103" s="188"/>
      <c r="BM103" s="188"/>
      <c r="BN103" s="188"/>
      <c r="BO103" s="188"/>
      <c r="BP103" s="188"/>
    </row>
    <row r="104" spans="1:68" x14ac:dyDescent="0.15">
      <c r="J104" s="141" t="s">
        <v>88</v>
      </c>
      <c r="K104" t="s">
        <v>117</v>
      </c>
      <c r="AK104" s="182"/>
      <c r="AM104" s="188"/>
      <c r="AN104" s="188"/>
      <c r="AO104" s="188"/>
      <c r="AP104" s="188"/>
      <c r="AQ104" s="188"/>
      <c r="AR104" s="188"/>
      <c r="AS104" s="188"/>
      <c r="AT104" s="188"/>
      <c r="AU104" s="188"/>
      <c r="AV104" s="188"/>
      <c r="AW104" s="188"/>
      <c r="AX104" s="188"/>
      <c r="AY104" s="188"/>
      <c r="AZ104" s="188"/>
      <c r="BA104" s="188"/>
      <c r="BB104" s="188"/>
      <c r="BC104" s="188"/>
      <c r="BD104" s="188"/>
      <c r="BE104" s="188"/>
      <c r="BF104" s="188"/>
      <c r="BG104" s="188"/>
      <c r="BH104" s="188"/>
      <c r="BI104" s="188"/>
      <c r="BJ104" s="188"/>
      <c r="BK104" s="188"/>
      <c r="BL104" s="188"/>
      <c r="BM104" s="188"/>
      <c r="BN104" s="188"/>
      <c r="BO104" s="188"/>
      <c r="BP104" s="188"/>
    </row>
    <row r="105" spans="1:68" x14ac:dyDescent="0.15">
      <c r="J105" s="141" t="s">
        <v>83</v>
      </c>
      <c r="K105" t="s">
        <v>118</v>
      </c>
      <c r="AK105" s="182"/>
      <c r="AM105" s="188"/>
      <c r="AN105" s="188"/>
      <c r="AO105" s="188"/>
      <c r="AP105" s="188"/>
      <c r="AQ105" s="188"/>
      <c r="AR105" s="188"/>
      <c r="AS105" s="188"/>
      <c r="AT105" s="188"/>
      <c r="AU105" s="188"/>
      <c r="AV105" s="188"/>
      <c r="AW105" s="188"/>
      <c r="AX105" s="188"/>
      <c r="AY105" s="188"/>
      <c r="AZ105" s="188"/>
      <c r="BA105" s="188"/>
      <c r="BB105" s="188"/>
      <c r="BC105" s="188"/>
      <c r="BD105" s="188"/>
      <c r="BE105" s="188"/>
      <c r="BF105" s="188"/>
      <c r="BG105" s="188"/>
      <c r="BH105" s="188"/>
      <c r="BI105" s="188"/>
      <c r="BJ105" s="188"/>
      <c r="BK105" s="188"/>
      <c r="BL105" s="188"/>
      <c r="BM105" s="188"/>
      <c r="BN105" s="188"/>
      <c r="BO105" s="188"/>
      <c r="BP105" s="188"/>
    </row>
    <row r="106" spans="1:68" x14ac:dyDescent="0.15">
      <c r="J106" s="141" t="s">
        <v>119</v>
      </c>
      <c r="AK106" s="182"/>
      <c r="AM106" s="188"/>
      <c r="AN106" s="188"/>
      <c r="AO106" s="188"/>
      <c r="AP106" s="188"/>
      <c r="AQ106" s="188"/>
      <c r="AR106" s="188"/>
      <c r="AS106" s="188"/>
      <c r="AT106" s="188"/>
      <c r="AU106" s="188"/>
      <c r="AV106" s="188"/>
      <c r="AW106" s="188"/>
      <c r="AX106" s="188"/>
      <c r="AY106" s="188"/>
      <c r="AZ106" s="188"/>
      <c r="BA106" s="188"/>
      <c r="BB106" s="188"/>
      <c r="BC106" s="188"/>
      <c r="BD106" s="188"/>
      <c r="BE106" s="188"/>
      <c r="BF106" s="188"/>
      <c r="BG106" s="188"/>
      <c r="BH106" s="188"/>
      <c r="BI106" s="188"/>
      <c r="BJ106" s="188"/>
      <c r="BK106" s="188"/>
      <c r="BL106" s="188"/>
      <c r="BM106" s="188"/>
      <c r="BN106" s="188"/>
      <c r="BO106" s="188"/>
      <c r="BP106" s="188"/>
    </row>
    <row r="107" spans="1:68" x14ac:dyDescent="0.15">
      <c r="J107" s="183" t="s">
        <v>87</v>
      </c>
      <c r="K107" s="181" t="s">
        <v>120</v>
      </c>
      <c r="L107" s="184"/>
      <c r="M107" s="184"/>
      <c r="N107" s="184"/>
      <c r="O107" s="184"/>
      <c r="P107" s="184"/>
      <c r="Q107" s="184"/>
      <c r="R107" s="184"/>
      <c r="S107" s="184"/>
      <c r="T107" s="184"/>
      <c r="U107" s="184"/>
      <c r="V107" s="184"/>
      <c r="W107" s="184"/>
      <c r="X107" s="184"/>
      <c r="Y107" s="184"/>
      <c r="Z107" s="184"/>
      <c r="AA107" s="184"/>
      <c r="AB107" s="184"/>
      <c r="AC107" s="184"/>
      <c r="AD107" s="184"/>
      <c r="AE107" s="184"/>
      <c r="AF107" s="184"/>
      <c r="AG107" s="184"/>
      <c r="AH107" s="184"/>
      <c r="AI107" s="184"/>
      <c r="AJ107" s="184"/>
      <c r="AK107" s="185"/>
      <c r="AM107" s="188"/>
      <c r="AN107" s="188"/>
      <c r="AO107" s="188"/>
      <c r="AP107" s="188"/>
      <c r="AQ107" s="188"/>
      <c r="AR107" s="188"/>
      <c r="AS107" s="188"/>
      <c r="AT107" s="188"/>
      <c r="AU107" s="188"/>
      <c r="AV107" s="188"/>
      <c r="AW107" s="188"/>
      <c r="AX107" s="188"/>
      <c r="AY107" s="188"/>
      <c r="AZ107" s="188"/>
      <c r="BA107" s="188"/>
      <c r="BB107" s="188"/>
      <c r="BC107" s="188"/>
      <c r="BD107" s="188"/>
      <c r="BE107" s="188"/>
      <c r="BF107" s="188"/>
      <c r="BG107" s="188"/>
      <c r="BH107" s="188"/>
      <c r="BI107" s="188"/>
      <c r="BJ107" s="188"/>
      <c r="BK107" s="188"/>
      <c r="BL107" s="188"/>
      <c r="BM107" s="188"/>
      <c r="BN107" s="188"/>
      <c r="BO107" s="188"/>
      <c r="BP107" s="188"/>
    </row>
    <row r="108" spans="1:68" x14ac:dyDescent="0.15">
      <c r="B108" s="190" t="s">
        <v>59</v>
      </c>
      <c r="AJ108" s="186"/>
      <c r="AM108" s="188"/>
      <c r="AN108" s="188"/>
      <c r="AO108" s="188"/>
      <c r="AP108" s="188"/>
      <c r="AQ108" s="188"/>
      <c r="AR108" s="188"/>
      <c r="AS108" s="188"/>
      <c r="AT108" s="188"/>
      <c r="AU108" s="188"/>
      <c r="AV108" s="188"/>
      <c r="AW108" s="188"/>
      <c r="AX108" s="188"/>
      <c r="AY108" s="188"/>
      <c r="AZ108" s="188"/>
      <c r="BA108" s="188"/>
      <c r="BB108" s="188"/>
      <c r="BC108" s="188"/>
      <c r="BD108" s="188"/>
      <c r="BE108" s="188"/>
      <c r="BF108" s="188"/>
      <c r="BG108" s="188"/>
      <c r="BH108" s="188"/>
      <c r="BI108" s="188"/>
      <c r="BJ108" s="188"/>
      <c r="BK108" s="188"/>
      <c r="BL108" s="188"/>
      <c r="BM108" s="188"/>
      <c r="BN108" s="188"/>
      <c r="BO108" s="188"/>
      <c r="BP108" s="188"/>
    </row>
    <row r="109" spans="1:68" x14ac:dyDescent="0.15">
      <c r="A109" s="160"/>
      <c r="B109" s="201" t="s">
        <v>10</v>
      </c>
      <c r="C109" s="202"/>
      <c r="D109" s="202"/>
      <c r="E109" s="202"/>
      <c r="F109" s="202"/>
      <c r="G109" s="202"/>
      <c r="H109" s="202"/>
      <c r="I109" s="202"/>
      <c r="J109" s="202"/>
      <c r="K109" s="202"/>
      <c r="L109" s="202"/>
      <c r="M109" s="202"/>
      <c r="N109" s="202"/>
      <c r="O109" s="202"/>
      <c r="P109" s="202"/>
      <c r="Q109" s="202"/>
      <c r="R109" s="202"/>
      <c r="S109" s="202"/>
      <c r="T109" s="202"/>
      <c r="U109" s="202"/>
      <c r="V109" s="202"/>
      <c r="W109" s="202"/>
      <c r="X109" s="202"/>
      <c r="Y109" s="202"/>
      <c r="Z109" s="202"/>
      <c r="AA109" s="202"/>
      <c r="AB109" s="202"/>
      <c r="AC109" s="202"/>
      <c r="AD109" s="202"/>
      <c r="AE109" s="202"/>
      <c r="AF109" s="202"/>
      <c r="AG109" s="202"/>
      <c r="AH109" s="202"/>
      <c r="AI109" s="202"/>
      <c r="AJ109" s="202"/>
      <c r="AK109" s="202"/>
      <c r="AL109" s="202"/>
      <c r="AM109" s="188"/>
      <c r="AN109" s="188"/>
      <c r="AO109" s="188"/>
      <c r="AP109" s="188"/>
      <c r="AQ109" s="188"/>
      <c r="AR109" s="188"/>
      <c r="AS109" s="188"/>
      <c r="AT109" s="188"/>
      <c r="AU109" s="188"/>
      <c r="AV109" s="188"/>
      <c r="AW109" s="188"/>
      <c r="AX109" s="188"/>
      <c r="AY109" s="188"/>
      <c r="AZ109" s="188"/>
      <c r="BA109" s="188"/>
      <c r="BB109" s="188"/>
      <c r="BC109" s="188"/>
      <c r="BD109" s="188"/>
      <c r="BE109" s="188"/>
      <c r="BF109" s="188"/>
      <c r="BG109" s="188"/>
      <c r="BH109" s="188"/>
      <c r="BI109" s="188"/>
      <c r="BJ109" s="188"/>
      <c r="BK109" s="188"/>
      <c r="BL109" s="188"/>
      <c r="BM109" s="188"/>
      <c r="BN109" s="188"/>
      <c r="BO109" s="188"/>
      <c r="BP109" s="188"/>
    </row>
    <row r="110" spans="1:68" x14ac:dyDescent="0.15">
      <c r="A110" s="160"/>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7"/>
      <c r="X110" s="217"/>
      <c r="Y110" s="217"/>
      <c r="Z110" s="217"/>
      <c r="AA110" s="217"/>
      <c r="AB110" s="217"/>
      <c r="AC110" s="217"/>
      <c r="AD110" s="217"/>
      <c r="AE110" s="217"/>
      <c r="AF110" s="217"/>
      <c r="AG110" s="217"/>
      <c r="AH110" s="217"/>
      <c r="AI110" s="217"/>
      <c r="AJ110" s="217"/>
      <c r="AK110" s="217"/>
      <c r="AL110" s="217"/>
      <c r="AM110" s="188"/>
      <c r="AN110" s="188"/>
      <c r="AO110" s="188"/>
      <c r="AP110" s="188"/>
      <c r="AQ110" s="188"/>
      <c r="AR110" s="188"/>
      <c r="AS110" s="188"/>
      <c r="AT110" s="188"/>
      <c r="AU110" s="188"/>
      <c r="AV110" s="188"/>
      <c r="AW110" s="188"/>
      <c r="AX110" s="188"/>
      <c r="AY110" s="188"/>
      <c r="AZ110" s="188"/>
      <c r="BA110" s="188"/>
      <c r="BB110" s="188"/>
      <c r="BC110" s="188"/>
      <c r="BD110" s="188"/>
      <c r="BE110" s="188"/>
      <c r="BF110" s="188"/>
      <c r="BG110" s="188"/>
      <c r="BH110" s="188"/>
      <c r="BI110" s="188"/>
      <c r="BJ110" s="188"/>
      <c r="BK110" s="188"/>
      <c r="BL110" s="188"/>
      <c r="BM110" s="188"/>
      <c r="BN110" s="188"/>
      <c r="BO110" s="188"/>
      <c r="BP110" s="188"/>
    </row>
    <row r="111" spans="1:68" x14ac:dyDescent="0.15">
      <c r="A111" s="160"/>
      <c r="B111" s="217"/>
      <c r="C111" s="217"/>
      <c r="D111" s="217"/>
      <c r="E111" s="217"/>
      <c r="F111" s="217"/>
      <c r="G111" s="217"/>
      <c r="H111" s="217"/>
      <c r="I111" s="217"/>
      <c r="J111" s="217"/>
      <c r="K111" s="217"/>
      <c r="L111" s="217"/>
      <c r="M111" s="217"/>
      <c r="N111" s="217"/>
      <c r="O111" s="217"/>
      <c r="P111" s="217"/>
      <c r="Q111" s="217"/>
      <c r="R111" s="217"/>
      <c r="S111" s="217"/>
      <c r="T111" s="217"/>
      <c r="U111" s="217"/>
      <c r="V111" s="217"/>
      <c r="W111" s="217"/>
      <c r="X111" s="217"/>
      <c r="Y111" s="217"/>
      <c r="Z111" s="217"/>
      <c r="AA111" s="217"/>
      <c r="AB111" s="217"/>
      <c r="AC111" s="217"/>
      <c r="AD111" s="217"/>
      <c r="AE111" s="217"/>
      <c r="AF111" s="217"/>
      <c r="AG111" s="217"/>
      <c r="AH111" s="217"/>
      <c r="AI111" s="217"/>
      <c r="AJ111" s="217"/>
      <c r="AK111" s="217"/>
      <c r="AL111" s="217"/>
      <c r="AM111" s="188"/>
      <c r="AN111" s="188"/>
      <c r="AO111" s="188"/>
      <c r="AP111" s="188"/>
      <c r="AQ111" s="188"/>
      <c r="AR111" s="188"/>
      <c r="AS111" s="188"/>
      <c r="AT111" s="188"/>
      <c r="AU111" s="188"/>
      <c r="AV111" s="188"/>
      <c r="AW111" s="188"/>
      <c r="AX111" s="188"/>
      <c r="AY111" s="188"/>
      <c r="AZ111" s="188"/>
      <c r="BA111" s="188"/>
      <c r="BB111" s="188"/>
      <c r="BC111" s="188"/>
      <c r="BD111" s="188"/>
      <c r="BE111" s="188"/>
      <c r="BF111" s="188"/>
      <c r="BG111" s="188"/>
      <c r="BH111" s="188"/>
      <c r="BI111" s="188"/>
      <c r="BJ111" s="188"/>
      <c r="BK111" s="188"/>
      <c r="BL111" s="188"/>
      <c r="BM111" s="188"/>
      <c r="BN111" s="188"/>
      <c r="BO111" s="188"/>
      <c r="BP111" s="188"/>
    </row>
    <row r="112" spans="1:68" x14ac:dyDescent="0.15">
      <c r="A112" s="188"/>
      <c r="B112" s="188"/>
      <c r="C112" s="188"/>
      <c r="D112" s="188"/>
      <c r="E112" s="188"/>
      <c r="F112" s="188"/>
      <c r="G112" s="188"/>
      <c r="H112" s="188"/>
      <c r="I112" s="188"/>
      <c r="J112" s="188"/>
      <c r="K112" s="188"/>
      <c r="L112" s="188"/>
      <c r="M112" s="188"/>
      <c r="N112" s="188"/>
      <c r="O112" s="188"/>
      <c r="P112" s="188"/>
      <c r="Q112" s="188"/>
      <c r="R112" s="188"/>
      <c r="S112" s="188"/>
      <c r="T112" s="188"/>
      <c r="U112" s="188"/>
      <c r="V112" s="188"/>
      <c r="W112" s="188"/>
      <c r="X112" s="188"/>
      <c r="Y112" s="188"/>
      <c r="Z112" s="188"/>
      <c r="AA112" s="188"/>
      <c r="AB112" s="188"/>
      <c r="AC112" s="188"/>
      <c r="AD112" s="188"/>
      <c r="AE112" s="188"/>
      <c r="AF112" s="188"/>
      <c r="AG112" s="188"/>
      <c r="AH112" s="188"/>
      <c r="AI112" s="188"/>
      <c r="AJ112" s="188"/>
      <c r="AK112" s="188"/>
      <c r="AL112" s="188"/>
      <c r="AM112" s="188"/>
      <c r="AN112" s="188"/>
      <c r="AO112" s="188"/>
      <c r="AP112" s="188"/>
      <c r="AQ112" s="188"/>
      <c r="AR112" s="188"/>
      <c r="AS112" s="188"/>
      <c r="AT112" s="188"/>
      <c r="AU112" s="188"/>
      <c r="AV112" s="188"/>
      <c r="AW112" s="188"/>
      <c r="AX112" s="188"/>
      <c r="AY112" s="188"/>
      <c r="AZ112" s="188"/>
      <c r="BA112" s="188"/>
      <c r="BB112" s="188"/>
      <c r="BC112" s="188"/>
      <c r="BD112" s="188"/>
      <c r="BE112" s="188"/>
      <c r="BF112" s="188"/>
      <c r="BG112" s="188"/>
      <c r="BH112" s="188"/>
      <c r="BI112" s="188"/>
      <c r="BJ112" s="188"/>
      <c r="BK112" s="188"/>
      <c r="BL112" s="188"/>
      <c r="BM112" s="188"/>
      <c r="BN112" s="188"/>
      <c r="BO112" s="188"/>
      <c r="BP112" s="188"/>
    </row>
    <row r="113" spans="1:68" x14ac:dyDescent="0.15">
      <c r="A113" s="188"/>
      <c r="B113" s="188"/>
      <c r="C113" s="188"/>
      <c r="D113" s="188"/>
      <c r="E113" s="188"/>
      <c r="F113" s="188"/>
      <c r="G113" s="188"/>
      <c r="H113" s="188"/>
      <c r="I113" s="188"/>
      <c r="J113" s="188"/>
      <c r="K113" s="188"/>
      <c r="L113" s="188"/>
      <c r="M113" s="188"/>
      <c r="N113" s="188"/>
      <c r="O113" s="188"/>
      <c r="P113" s="188"/>
      <c r="Q113" s="188"/>
      <c r="R113" s="188"/>
      <c r="S113" s="188"/>
      <c r="T113" s="188"/>
      <c r="U113" s="188"/>
      <c r="V113" s="188"/>
      <c r="W113" s="188"/>
      <c r="X113" s="188"/>
      <c r="Y113" s="188"/>
      <c r="Z113" s="188"/>
      <c r="AA113" s="188"/>
      <c r="AB113" s="188"/>
      <c r="AC113" s="188"/>
      <c r="AD113" s="188"/>
      <c r="AE113" s="188"/>
      <c r="AF113" s="188"/>
      <c r="AG113" s="188"/>
      <c r="AH113" s="188"/>
      <c r="AI113" s="188"/>
      <c r="AJ113" s="188"/>
      <c r="AK113" s="188"/>
      <c r="AL113" s="188"/>
      <c r="AM113" s="188"/>
      <c r="AN113" s="188"/>
      <c r="AO113" s="188"/>
      <c r="AP113" s="188"/>
      <c r="AQ113" s="188"/>
      <c r="AR113" s="188"/>
      <c r="AS113" s="188"/>
      <c r="AT113" s="188"/>
      <c r="AU113" s="188"/>
      <c r="AV113" s="188"/>
      <c r="AW113" s="188"/>
      <c r="AX113" s="188"/>
      <c r="AY113" s="188"/>
      <c r="AZ113" s="188"/>
      <c r="BA113" s="188"/>
      <c r="BB113" s="188"/>
      <c r="BC113" s="188"/>
      <c r="BD113" s="188"/>
      <c r="BE113" s="188"/>
      <c r="BF113" s="188"/>
      <c r="BG113" s="188"/>
      <c r="BH113" s="188"/>
      <c r="BI113" s="188"/>
      <c r="BJ113" s="188"/>
      <c r="BK113" s="188"/>
      <c r="BL113" s="188"/>
      <c r="BM113" s="188"/>
      <c r="BN113" s="188"/>
      <c r="BO113" s="188"/>
      <c r="BP113" s="188"/>
    </row>
    <row r="114" spans="1:68" x14ac:dyDescent="0.15">
      <c r="A114" s="188"/>
      <c r="B114" s="188"/>
      <c r="C114" s="188"/>
      <c r="D114" s="188"/>
      <c r="E114" s="188"/>
      <c r="F114" s="188"/>
      <c r="G114" s="188"/>
      <c r="H114" s="188"/>
      <c r="I114" s="188"/>
      <c r="J114" s="188"/>
      <c r="K114" s="188"/>
      <c r="L114" s="188"/>
      <c r="M114" s="188"/>
      <c r="N114" s="188"/>
      <c r="O114" s="188"/>
      <c r="P114" s="188"/>
      <c r="Q114" s="188"/>
      <c r="R114" s="188"/>
      <c r="S114" s="188"/>
      <c r="T114" s="188"/>
      <c r="U114" s="188"/>
      <c r="V114" s="188"/>
      <c r="W114" s="188"/>
      <c r="X114" s="188"/>
      <c r="Y114" s="188"/>
      <c r="Z114" s="188"/>
      <c r="AA114" s="188"/>
      <c r="AB114" s="188"/>
      <c r="AC114" s="188"/>
      <c r="AD114" s="188"/>
      <c r="AE114" s="188"/>
      <c r="AF114" s="188"/>
      <c r="AG114" s="188"/>
      <c r="AH114" s="188"/>
      <c r="AI114" s="188"/>
      <c r="AJ114" s="188"/>
      <c r="AK114" s="188"/>
      <c r="AL114" s="188"/>
      <c r="AM114" s="188"/>
      <c r="AN114" s="188"/>
      <c r="AO114" s="188"/>
      <c r="AP114" s="188"/>
      <c r="AQ114" s="188"/>
      <c r="AR114" s="188"/>
      <c r="AS114" s="188"/>
      <c r="AT114" s="188"/>
      <c r="AU114" s="188"/>
      <c r="AV114" s="188"/>
      <c r="AW114" s="188"/>
      <c r="AX114" s="188"/>
      <c r="AY114" s="188"/>
      <c r="AZ114" s="188"/>
      <c r="BA114" s="188"/>
      <c r="BB114" s="188"/>
      <c r="BC114" s="188"/>
      <c r="BD114" s="188"/>
      <c r="BE114" s="188"/>
      <c r="BF114" s="188"/>
      <c r="BG114" s="188"/>
      <c r="BH114" s="188"/>
      <c r="BI114" s="188"/>
      <c r="BJ114" s="188"/>
      <c r="BK114" s="188"/>
      <c r="BL114" s="188"/>
      <c r="BM114" s="188"/>
      <c r="BN114" s="188"/>
      <c r="BO114" s="188"/>
      <c r="BP114" s="188"/>
    </row>
    <row r="115" spans="1:68" x14ac:dyDescent="0.15">
      <c r="A115" s="188"/>
      <c r="B115" s="188"/>
      <c r="C115" s="188"/>
      <c r="D115" s="188"/>
      <c r="E115" s="188"/>
      <c r="F115" s="188"/>
      <c r="G115" s="188"/>
      <c r="H115" s="188"/>
      <c r="I115" s="188"/>
      <c r="J115" s="188"/>
      <c r="K115" s="188"/>
      <c r="L115" s="188"/>
      <c r="M115" s="188"/>
      <c r="N115" s="188"/>
      <c r="O115" s="188"/>
      <c r="P115" s="188"/>
      <c r="Q115" s="188"/>
      <c r="R115" s="188"/>
      <c r="S115" s="188"/>
      <c r="T115" s="188"/>
      <c r="U115" s="188"/>
      <c r="V115" s="188"/>
      <c r="W115" s="188"/>
      <c r="X115" s="188"/>
      <c r="Y115" s="188"/>
      <c r="Z115" s="188"/>
      <c r="AA115" s="188"/>
      <c r="AB115" s="188"/>
      <c r="AC115" s="188"/>
      <c r="AD115" s="188"/>
      <c r="AE115" s="188"/>
      <c r="AF115" s="188"/>
      <c r="AG115" s="188"/>
      <c r="AH115" s="188"/>
      <c r="AI115" s="188"/>
      <c r="AJ115" s="188"/>
      <c r="AK115" s="188"/>
      <c r="AL115" s="188"/>
      <c r="AM115" s="188"/>
      <c r="AN115" s="188"/>
      <c r="AO115" s="188"/>
      <c r="AP115" s="188"/>
      <c r="AQ115" s="188"/>
      <c r="AR115" s="188"/>
      <c r="AS115" s="188"/>
      <c r="AT115" s="188"/>
      <c r="AU115" s="188"/>
      <c r="AV115" s="188"/>
      <c r="AW115" s="188"/>
      <c r="AX115" s="188"/>
      <c r="AY115" s="188"/>
      <c r="AZ115" s="188"/>
      <c r="BA115" s="188"/>
      <c r="BB115" s="188"/>
      <c r="BC115" s="188"/>
      <c r="BD115" s="188"/>
      <c r="BE115" s="188"/>
      <c r="BF115" s="188"/>
      <c r="BG115" s="188"/>
      <c r="BH115" s="188"/>
      <c r="BI115" s="188"/>
      <c r="BJ115" s="188"/>
      <c r="BK115" s="188"/>
      <c r="BL115" s="188"/>
      <c r="BM115" s="188"/>
      <c r="BN115" s="188"/>
      <c r="BO115" s="188"/>
      <c r="BP115" s="188"/>
    </row>
    <row r="116" spans="1:68" x14ac:dyDescent="0.15">
      <c r="A116" s="188"/>
      <c r="B116" s="188"/>
      <c r="C116" s="188"/>
      <c r="D116" s="188"/>
      <c r="E116" s="188"/>
      <c r="F116" s="188"/>
      <c r="G116" s="188"/>
      <c r="H116" s="188"/>
      <c r="I116" s="188"/>
      <c r="J116" s="188"/>
      <c r="K116" s="188"/>
      <c r="L116" s="188"/>
      <c r="M116" s="188"/>
      <c r="N116" s="188"/>
      <c r="O116" s="188"/>
      <c r="P116" s="188"/>
      <c r="Q116" s="188"/>
      <c r="R116" s="188"/>
      <c r="S116" s="188"/>
      <c r="T116" s="188"/>
      <c r="U116" s="188"/>
      <c r="V116" s="188"/>
      <c r="W116" s="188"/>
      <c r="X116" s="188"/>
      <c r="Y116" s="188"/>
      <c r="Z116" s="188"/>
      <c r="AA116" s="188"/>
      <c r="AB116" s="188"/>
      <c r="AC116" s="188"/>
      <c r="AD116" s="188"/>
      <c r="AE116" s="188"/>
      <c r="AF116" s="188"/>
      <c r="AG116" s="188"/>
      <c r="AH116" s="188"/>
      <c r="AI116" s="188"/>
      <c r="AJ116" s="188"/>
      <c r="AK116" s="188"/>
      <c r="AL116" s="188"/>
      <c r="AM116" s="188"/>
      <c r="AN116" s="188"/>
      <c r="AO116" s="188"/>
      <c r="AP116" s="188"/>
      <c r="AQ116" s="188"/>
      <c r="AR116" s="188"/>
      <c r="AS116" s="188"/>
      <c r="AT116" s="188"/>
      <c r="AU116" s="188"/>
      <c r="AV116" s="188"/>
      <c r="AW116" s="188"/>
      <c r="AX116" s="188"/>
      <c r="AY116" s="188"/>
      <c r="AZ116" s="188"/>
      <c r="BA116" s="188"/>
      <c r="BB116" s="188"/>
      <c r="BC116" s="188"/>
      <c r="BD116" s="188"/>
      <c r="BE116" s="188"/>
      <c r="BF116" s="188"/>
      <c r="BG116" s="188"/>
      <c r="BH116" s="188"/>
      <c r="BI116" s="188"/>
      <c r="BJ116" s="188"/>
      <c r="BK116" s="188"/>
      <c r="BL116" s="188"/>
      <c r="BM116" s="188"/>
      <c r="BN116" s="188"/>
      <c r="BO116" s="188"/>
      <c r="BP116" s="188"/>
    </row>
    <row r="117" spans="1:68" x14ac:dyDescent="0.15">
      <c r="A117" s="188"/>
      <c r="B117" s="188"/>
      <c r="C117" s="188"/>
      <c r="D117" s="188"/>
      <c r="E117" s="188"/>
      <c r="F117" s="188"/>
      <c r="G117" s="188"/>
      <c r="H117" s="188"/>
      <c r="I117" s="188"/>
      <c r="J117" s="188"/>
      <c r="K117" s="188"/>
      <c r="L117" s="188"/>
      <c r="M117" s="188"/>
      <c r="N117" s="188"/>
      <c r="O117" s="188"/>
      <c r="P117" s="188"/>
      <c r="Q117" s="188"/>
      <c r="R117" s="188"/>
      <c r="S117" s="188"/>
      <c r="T117" s="188"/>
      <c r="U117" s="188"/>
      <c r="V117" s="188"/>
      <c r="W117" s="188"/>
      <c r="X117" s="188"/>
      <c r="Y117" s="188"/>
      <c r="Z117" s="188"/>
      <c r="AA117" s="188"/>
      <c r="AB117" s="188"/>
      <c r="AC117" s="188"/>
      <c r="AD117" s="188"/>
      <c r="AE117" s="188"/>
      <c r="AF117" s="188"/>
      <c r="AG117" s="188"/>
      <c r="AH117" s="188"/>
      <c r="AI117" s="188"/>
      <c r="AJ117" s="188"/>
      <c r="AK117" s="188"/>
      <c r="AL117" s="188"/>
      <c r="AM117" s="188"/>
      <c r="AN117" s="188"/>
      <c r="AO117" s="188"/>
      <c r="AP117" s="188"/>
      <c r="AQ117" s="188"/>
      <c r="AR117" s="188"/>
      <c r="AS117" s="188"/>
      <c r="AT117" s="188"/>
      <c r="AU117" s="188"/>
      <c r="AV117" s="188"/>
      <c r="AW117" s="188"/>
      <c r="AX117" s="188"/>
      <c r="AY117" s="188"/>
      <c r="AZ117" s="188"/>
      <c r="BA117" s="188"/>
      <c r="BB117" s="188"/>
      <c r="BC117" s="188"/>
      <c r="BD117" s="188"/>
      <c r="BE117" s="188"/>
      <c r="BF117" s="188"/>
      <c r="BG117" s="188"/>
      <c r="BH117" s="188"/>
      <c r="BI117" s="188"/>
      <c r="BJ117" s="188"/>
      <c r="BK117" s="188"/>
      <c r="BL117" s="188"/>
      <c r="BM117" s="188"/>
      <c r="BN117" s="188"/>
      <c r="BO117" s="188"/>
      <c r="BP117" s="188"/>
    </row>
    <row r="118" spans="1:68" x14ac:dyDescent="0.15">
      <c r="A118" s="188"/>
      <c r="B118" s="188"/>
      <c r="C118" s="188"/>
      <c r="D118" s="188"/>
      <c r="E118" s="188"/>
      <c r="F118" s="188"/>
      <c r="G118" s="188"/>
      <c r="H118" s="188"/>
      <c r="I118" s="188"/>
      <c r="J118" s="188"/>
      <c r="K118" s="188"/>
      <c r="L118" s="188"/>
      <c r="M118" s="188"/>
      <c r="N118" s="188"/>
      <c r="O118" s="188"/>
      <c r="P118" s="188"/>
      <c r="Q118" s="188"/>
      <c r="R118" s="188"/>
      <c r="S118" s="188"/>
      <c r="T118" s="188"/>
      <c r="U118" s="188"/>
      <c r="V118" s="188"/>
      <c r="W118" s="188"/>
      <c r="X118" s="188"/>
      <c r="Y118" s="188"/>
      <c r="Z118" s="188"/>
      <c r="AA118" s="188"/>
      <c r="AB118" s="188"/>
      <c r="AC118" s="188"/>
      <c r="AD118" s="188"/>
      <c r="AE118" s="188"/>
      <c r="AF118" s="188"/>
      <c r="AG118" s="188"/>
      <c r="AH118" s="188"/>
      <c r="AI118" s="188"/>
      <c r="AJ118" s="188"/>
      <c r="AK118" s="188"/>
      <c r="AL118" s="188"/>
      <c r="AM118" s="188"/>
      <c r="AN118" s="188"/>
      <c r="AO118" s="188"/>
      <c r="AP118" s="188"/>
      <c r="AQ118" s="188"/>
      <c r="AR118" s="188"/>
      <c r="AS118" s="188"/>
      <c r="AT118" s="188"/>
      <c r="AU118" s="188"/>
      <c r="AV118" s="188"/>
      <c r="AW118" s="188"/>
      <c r="AX118" s="188"/>
      <c r="AY118" s="188"/>
      <c r="AZ118" s="188"/>
      <c r="BA118" s="188"/>
      <c r="BB118" s="188"/>
      <c r="BC118" s="188"/>
      <c r="BD118" s="188"/>
      <c r="BE118" s="188"/>
      <c r="BF118" s="188"/>
      <c r="BG118" s="188"/>
      <c r="BH118" s="188"/>
      <c r="BI118" s="188"/>
      <c r="BJ118" s="188"/>
      <c r="BK118" s="188"/>
      <c r="BL118" s="188"/>
      <c r="BM118" s="188"/>
      <c r="BN118" s="188"/>
      <c r="BO118" s="188"/>
      <c r="BP118" s="188"/>
    </row>
    <row r="119" spans="1:68" x14ac:dyDescent="0.15">
      <c r="A119" s="188"/>
      <c r="B119" s="188"/>
      <c r="C119" s="188"/>
      <c r="D119" s="188"/>
      <c r="E119" s="188"/>
      <c r="F119" s="188"/>
      <c r="G119" s="188"/>
      <c r="H119" s="188"/>
      <c r="I119" s="188"/>
      <c r="J119" s="188"/>
      <c r="K119" s="188"/>
      <c r="L119" s="188"/>
      <c r="M119" s="188"/>
      <c r="N119" s="188"/>
      <c r="O119" s="188"/>
      <c r="P119" s="188"/>
      <c r="Q119" s="188"/>
      <c r="R119" s="188"/>
      <c r="S119" s="188"/>
      <c r="T119" s="188"/>
      <c r="U119" s="188"/>
      <c r="V119" s="188"/>
      <c r="W119" s="188"/>
      <c r="X119" s="188"/>
      <c r="Y119" s="188"/>
      <c r="Z119" s="188"/>
      <c r="AA119" s="188"/>
      <c r="AB119" s="188"/>
      <c r="AC119" s="188"/>
      <c r="AD119" s="188"/>
      <c r="AE119" s="188"/>
      <c r="AF119" s="188"/>
      <c r="AG119" s="188"/>
      <c r="AH119" s="188"/>
      <c r="AI119" s="188"/>
      <c r="AJ119" s="188"/>
      <c r="AK119" s="188"/>
      <c r="AL119" s="188"/>
      <c r="AM119" s="188"/>
      <c r="AN119" s="188"/>
      <c r="AO119" s="188"/>
      <c r="AP119" s="188"/>
      <c r="AQ119" s="188"/>
      <c r="AR119" s="188"/>
      <c r="AS119" s="188"/>
      <c r="AT119" s="188"/>
      <c r="AU119" s="188"/>
      <c r="AV119" s="188"/>
      <c r="AW119" s="188"/>
      <c r="AX119" s="188"/>
      <c r="AY119" s="188"/>
      <c r="AZ119" s="188"/>
      <c r="BA119" s="188"/>
      <c r="BB119" s="188"/>
      <c r="BC119" s="188"/>
      <c r="BD119" s="188"/>
      <c r="BE119" s="188"/>
      <c r="BF119" s="188"/>
      <c r="BG119" s="188"/>
      <c r="BH119" s="188"/>
      <c r="BI119" s="188"/>
      <c r="BJ119" s="188"/>
      <c r="BK119" s="188"/>
      <c r="BL119" s="188"/>
      <c r="BM119" s="188"/>
      <c r="BN119" s="188"/>
      <c r="BO119" s="188"/>
      <c r="BP119" s="188"/>
    </row>
    <row r="120" spans="1:68" x14ac:dyDescent="0.15">
      <c r="A120" s="188"/>
      <c r="B120" s="188"/>
      <c r="C120" s="188"/>
      <c r="D120" s="188"/>
      <c r="E120" s="188"/>
      <c r="F120" s="188"/>
      <c r="G120" s="188"/>
      <c r="H120" s="188"/>
      <c r="I120" s="188"/>
      <c r="J120" s="188"/>
      <c r="K120" s="188"/>
      <c r="L120" s="188"/>
      <c r="M120" s="188"/>
      <c r="N120" s="188"/>
      <c r="O120" s="188"/>
      <c r="P120" s="188"/>
      <c r="Q120" s="188"/>
      <c r="R120" s="188"/>
      <c r="S120" s="188"/>
      <c r="T120" s="188"/>
      <c r="U120" s="188"/>
      <c r="V120" s="188"/>
      <c r="W120" s="188"/>
      <c r="X120" s="188"/>
      <c r="Y120" s="188"/>
      <c r="Z120" s="188"/>
      <c r="AA120" s="188"/>
      <c r="AB120" s="188"/>
      <c r="AC120" s="188"/>
      <c r="AD120" s="188"/>
      <c r="AE120" s="188"/>
      <c r="AF120" s="188"/>
      <c r="AG120" s="188"/>
      <c r="AH120" s="188"/>
      <c r="AI120" s="188"/>
      <c r="AJ120" s="188"/>
      <c r="AK120" s="188"/>
      <c r="AL120" s="188"/>
      <c r="AM120" s="188"/>
      <c r="AN120" s="188"/>
      <c r="AO120" s="188"/>
      <c r="AP120" s="188"/>
      <c r="AQ120" s="188"/>
      <c r="AR120" s="188"/>
      <c r="AS120" s="188"/>
      <c r="AT120" s="188"/>
      <c r="AU120" s="188"/>
      <c r="AV120" s="188"/>
      <c r="AW120" s="188"/>
      <c r="AX120" s="188"/>
      <c r="AY120" s="188"/>
      <c r="AZ120" s="188"/>
      <c r="BA120" s="188"/>
      <c r="BB120" s="188"/>
      <c r="BC120" s="188"/>
      <c r="BD120" s="188"/>
      <c r="BE120" s="188"/>
      <c r="BF120" s="188"/>
      <c r="BG120" s="188"/>
      <c r="BH120" s="188"/>
      <c r="BI120" s="188"/>
      <c r="BJ120" s="188"/>
      <c r="BK120" s="188"/>
      <c r="BL120" s="188"/>
      <c r="BM120" s="188"/>
      <c r="BN120" s="188"/>
      <c r="BO120" s="188"/>
      <c r="BP120" s="188"/>
    </row>
    <row r="121" spans="1:68" x14ac:dyDescent="0.15">
      <c r="A121" s="188"/>
      <c r="B121" s="188"/>
      <c r="C121" s="188"/>
      <c r="D121" s="188"/>
      <c r="E121" s="188"/>
      <c r="F121" s="188"/>
      <c r="G121" s="188"/>
      <c r="H121" s="188"/>
      <c r="I121" s="188"/>
      <c r="J121" s="188"/>
      <c r="K121" s="188"/>
      <c r="L121" s="188"/>
      <c r="M121" s="188"/>
      <c r="N121" s="188"/>
      <c r="O121" s="188"/>
      <c r="P121" s="188"/>
      <c r="Q121" s="188"/>
      <c r="R121" s="188"/>
      <c r="S121" s="188"/>
      <c r="T121" s="188"/>
      <c r="U121" s="188"/>
      <c r="V121" s="188"/>
      <c r="W121" s="188"/>
      <c r="X121" s="188"/>
      <c r="Y121" s="188"/>
      <c r="Z121" s="188"/>
      <c r="AA121" s="188"/>
      <c r="AB121" s="188"/>
      <c r="AC121" s="188"/>
      <c r="AD121" s="188"/>
      <c r="AE121" s="188"/>
      <c r="AF121" s="188"/>
      <c r="AG121" s="188"/>
      <c r="AH121" s="188"/>
      <c r="AI121" s="188"/>
      <c r="AJ121" s="188"/>
      <c r="AK121" s="188"/>
      <c r="AL121" s="188"/>
      <c r="AM121" s="188"/>
      <c r="AN121" s="188"/>
      <c r="AO121" s="188"/>
      <c r="AP121" s="188"/>
      <c r="AQ121" s="188"/>
      <c r="AR121" s="188"/>
      <c r="AS121" s="188"/>
      <c r="AT121" s="188"/>
      <c r="AU121" s="188"/>
      <c r="AV121" s="188"/>
      <c r="AW121" s="188"/>
      <c r="AX121" s="188"/>
      <c r="AY121" s="188"/>
      <c r="AZ121" s="188"/>
      <c r="BA121" s="188"/>
      <c r="BB121" s="188"/>
      <c r="BC121" s="188"/>
      <c r="BD121" s="188"/>
      <c r="BE121" s="188"/>
      <c r="BF121" s="188"/>
      <c r="BG121" s="188"/>
      <c r="BH121" s="188"/>
      <c r="BI121" s="188"/>
      <c r="BJ121" s="188"/>
      <c r="BK121" s="188"/>
      <c r="BL121" s="188"/>
      <c r="BM121" s="188"/>
      <c r="BN121" s="188"/>
      <c r="BO121" s="188"/>
      <c r="BP121" s="188"/>
    </row>
    <row r="122" spans="1:68" x14ac:dyDescent="0.15">
      <c r="A122" s="188"/>
      <c r="B122" s="188"/>
      <c r="C122" s="188"/>
      <c r="D122" s="188"/>
      <c r="E122" s="188"/>
      <c r="F122" s="188"/>
      <c r="G122" s="188"/>
      <c r="H122" s="188"/>
      <c r="I122" s="188"/>
      <c r="J122" s="188"/>
      <c r="K122" s="188"/>
      <c r="L122" s="188"/>
      <c r="M122" s="188"/>
      <c r="N122" s="188"/>
      <c r="O122" s="188"/>
      <c r="P122" s="188"/>
      <c r="Q122" s="188"/>
      <c r="R122" s="188"/>
      <c r="S122" s="188"/>
      <c r="T122" s="188"/>
      <c r="U122" s="188"/>
      <c r="V122" s="188"/>
      <c r="W122" s="188"/>
      <c r="X122" s="188"/>
      <c r="Y122" s="188"/>
      <c r="Z122" s="188"/>
      <c r="AA122" s="188"/>
      <c r="AB122" s="188"/>
      <c r="AC122" s="188"/>
      <c r="AD122" s="188"/>
      <c r="AE122" s="188"/>
      <c r="AF122" s="188"/>
      <c r="AG122" s="188"/>
      <c r="AH122" s="188"/>
      <c r="AI122" s="188"/>
      <c r="AJ122" s="188"/>
      <c r="AK122" s="188"/>
      <c r="AL122" s="188"/>
      <c r="AM122" s="188"/>
      <c r="AN122" s="188"/>
      <c r="AO122" s="188"/>
      <c r="AP122" s="188"/>
      <c r="AQ122" s="188"/>
      <c r="AR122" s="188"/>
      <c r="AS122" s="188"/>
      <c r="AT122" s="188"/>
      <c r="AU122" s="188"/>
      <c r="AV122" s="188"/>
      <c r="AW122" s="188"/>
      <c r="AX122" s="188"/>
      <c r="AY122" s="188"/>
      <c r="AZ122" s="188"/>
      <c r="BA122" s="188"/>
      <c r="BB122" s="188"/>
      <c r="BC122" s="188"/>
      <c r="BD122" s="188"/>
      <c r="BE122" s="188"/>
      <c r="BF122" s="188"/>
      <c r="BG122" s="188"/>
      <c r="BH122" s="188"/>
      <c r="BI122" s="188"/>
      <c r="BJ122" s="188"/>
      <c r="BK122" s="188"/>
      <c r="BL122" s="188"/>
      <c r="BM122" s="188"/>
      <c r="BN122" s="188"/>
      <c r="BO122" s="188"/>
      <c r="BP122" s="188"/>
    </row>
    <row r="123" spans="1:68" x14ac:dyDescent="0.15">
      <c r="A123" s="188"/>
      <c r="B123" s="188"/>
      <c r="C123" s="188"/>
      <c r="D123" s="188"/>
      <c r="E123" s="188"/>
      <c r="F123" s="188"/>
      <c r="G123" s="188"/>
      <c r="H123" s="188"/>
      <c r="I123" s="188"/>
      <c r="J123" s="188"/>
      <c r="K123" s="188"/>
      <c r="L123" s="188"/>
      <c r="M123" s="188"/>
      <c r="N123" s="188"/>
      <c r="O123" s="188"/>
      <c r="P123" s="188"/>
      <c r="Q123" s="188"/>
      <c r="R123" s="188"/>
      <c r="S123" s="188"/>
      <c r="T123" s="188"/>
      <c r="U123" s="188"/>
      <c r="V123" s="188"/>
      <c r="W123" s="188"/>
      <c r="X123" s="188"/>
      <c r="Y123" s="188"/>
      <c r="Z123" s="188"/>
      <c r="AA123" s="188"/>
      <c r="AB123" s="188"/>
      <c r="AC123" s="188"/>
      <c r="AD123" s="188"/>
      <c r="AE123" s="188"/>
      <c r="AF123" s="188"/>
      <c r="AG123" s="188"/>
      <c r="AH123" s="188"/>
      <c r="AI123" s="188"/>
      <c r="AJ123" s="188"/>
      <c r="AK123" s="188"/>
      <c r="AL123" s="188"/>
      <c r="AM123" s="188"/>
      <c r="AN123" s="188"/>
      <c r="AO123" s="188"/>
      <c r="AP123" s="188"/>
      <c r="AQ123" s="188"/>
      <c r="AR123" s="188"/>
      <c r="AS123" s="188"/>
      <c r="AT123" s="188"/>
      <c r="AU123" s="188"/>
      <c r="AV123" s="188"/>
      <c r="AW123" s="188"/>
      <c r="AX123" s="188"/>
      <c r="AY123" s="188"/>
      <c r="AZ123" s="188"/>
      <c r="BA123" s="188"/>
      <c r="BB123" s="188"/>
      <c r="BC123" s="188"/>
      <c r="BD123" s="188"/>
      <c r="BE123" s="188"/>
      <c r="BF123" s="188"/>
      <c r="BG123" s="188"/>
      <c r="BH123" s="188"/>
      <c r="BI123" s="188"/>
      <c r="BJ123" s="188"/>
      <c r="BK123" s="188"/>
      <c r="BL123" s="188"/>
      <c r="BM123" s="188"/>
      <c r="BN123" s="188"/>
      <c r="BO123" s="188"/>
      <c r="BP123" s="188"/>
    </row>
    <row r="124" spans="1:68" x14ac:dyDescent="0.15">
      <c r="A124" s="188"/>
      <c r="B124" s="188"/>
      <c r="C124" s="188"/>
      <c r="D124" s="188"/>
      <c r="E124" s="188"/>
      <c r="F124" s="188"/>
      <c r="G124" s="188"/>
      <c r="H124" s="188"/>
      <c r="I124" s="188"/>
      <c r="J124" s="188"/>
      <c r="K124" s="188"/>
      <c r="L124" s="188"/>
      <c r="M124" s="188"/>
      <c r="N124" s="188"/>
      <c r="O124" s="188"/>
      <c r="P124" s="188"/>
      <c r="Q124" s="188"/>
      <c r="R124" s="188"/>
      <c r="S124" s="188"/>
      <c r="T124" s="188"/>
      <c r="U124" s="188"/>
      <c r="V124" s="188"/>
      <c r="W124" s="188"/>
      <c r="X124" s="188"/>
      <c r="Y124" s="188"/>
      <c r="Z124" s="188"/>
      <c r="AA124" s="188"/>
      <c r="AB124" s="188"/>
      <c r="AC124" s="188"/>
      <c r="AD124" s="188"/>
      <c r="AE124" s="188"/>
      <c r="AF124" s="188"/>
      <c r="AG124" s="188"/>
      <c r="AH124" s="188"/>
      <c r="AI124" s="188"/>
      <c r="AJ124" s="188"/>
      <c r="AK124" s="188"/>
      <c r="AL124" s="188"/>
      <c r="AM124" s="188"/>
      <c r="AN124" s="188"/>
      <c r="AO124" s="188"/>
      <c r="AP124" s="188"/>
      <c r="AQ124" s="188"/>
      <c r="AR124" s="188"/>
      <c r="AS124" s="188"/>
      <c r="AT124" s="188"/>
      <c r="AU124" s="188"/>
      <c r="AV124" s="188"/>
      <c r="AW124" s="188"/>
      <c r="AX124" s="188"/>
      <c r="AY124" s="188"/>
      <c r="AZ124" s="188"/>
      <c r="BA124" s="188"/>
      <c r="BB124" s="188"/>
      <c r="BC124" s="188"/>
      <c r="BD124" s="188"/>
      <c r="BE124" s="188"/>
      <c r="BF124" s="188"/>
      <c r="BG124" s="188"/>
      <c r="BH124" s="188"/>
      <c r="BI124" s="188"/>
      <c r="BJ124" s="188"/>
      <c r="BK124" s="188"/>
      <c r="BL124" s="188"/>
      <c r="BM124" s="188"/>
      <c r="BN124" s="188"/>
      <c r="BO124" s="188"/>
      <c r="BP124" s="188"/>
    </row>
    <row r="125" spans="1:68" x14ac:dyDescent="0.15">
      <c r="A125" s="188"/>
      <c r="B125" s="188"/>
      <c r="C125" s="188"/>
      <c r="D125" s="188"/>
      <c r="E125" s="188"/>
      <c r="F125" s="188"/>
      <c r="G125" s="188"/>
      <c r="H125" s="188"/>
      <c r="I125" s="188"/>
      <c r="J125" s="188"/>
      <c r="K125" s="188"/>
      <c r="L125" s="188"/>
      <c r="M125" s="188"/>
      <c r="N125" s="188"/>
      <c r="O125" s="188"/>
      <c r="P125" s="188"/>
      <c r="Q125" s="188"/>
      <c r="R125" s="188"/>
      <c r="S125" s="188"/>
      <c r="T125" s="188"/>
      <c r="U125" s="188"/>
      <c r="V125" s="188"/>
      <c r="W125" s="188"/>
      <c r="X125" s="188"/>
      <c r="Y125" s="188"/>
      <c r="Z125" s="188"/>
      <c r="AA125" s="188"/>
      <c r="AB125" s="188"/>
      <c r="AC125" s="188"/>
      <c r="AD125" s="188"/>
      <c r="AE125" s="188"/>
      <c r="AF125" s="188"/>
      <c r="AG125" s="188"/>
      <c r="AH125" s="188"/>
      <c r="AI125" s="188"/>
      <c r="AJ125" s="188"/>
      <c r="AK125" s="188"/>
      <c r="AL125" s="188"/>
      <c r="AM125" s="188"/>
      <c r="AN125" s="188"/>
      <c r="AO125" s="188"/>
      <c r="AP125" s="188"/>
      <c r="AQ125" s="188"/>
      <c r="AR125" s="188"/>
      <c r="AS125" s="188"/>
      <c r="AT125" s="188"/>
      <c r="AU125" s="188"/>
      <c r="AV125" s="188"/>
      <c r="AW125" s="188"/>
      <c r="AX125" s="188"/>
      <c r="AY125" s="188"/>
      <c r="AZ125" s="188"/>
      <c r="BA125" s="188"/>
      <c r="BB125" s="188"/>
      <c r="BC125" s="188"/>
      <c r="BD125" s="188"/>
      <c r="BE125" s="188"/>
      <c r="BF125" s="188"/>
      <c r="BG125" s="188"/>
      <c r="BH125" s="188"/>
      <c r="BI125" s="188"/>
      <c r="BJ125" s="188"/>
      <c r="BK125" s="188"/>
      <c r="BL125" s="188"/>
      <c r="BM125" s="188"/>
      <c r="BN125" s="188"/>
      <c r="BO125" s="188"/>
      <c r="BP125" s="188"/>
    </row>
    <row r="126" spans="1:68" x14ac:dyDescent="0.15">
      <c r="A126" s="188"/>
      <c r="B126" s="188"/>
      <c r="C126" s="188"/>
      <c r="D126" s="188"/>
      <c r="E126" s="188"/>
      <c r="F126" s="188"/>
      <c r="G126" s="188"/>
      <c r="H126" s="188"/>
      <c r="I126" s="188"/>
      <c r="J126" s="188"/>
      <c r="K126" s="188"/>
      <c r="L126" s="188"/>
      <c r="M126" s="188"/>
      <c r="N126" s="188"/>
      <c r="O126" s="188"/>
      <c r="P126" s="188"/>
      <c r="Q126" s="188"/>
      <c r="R126" s="188"/>
      <c r="S126" s="188"/>
      <c r="T126" s="188"/>
      <c r="U126" s="188"/>
      <c r="V126" s="188"/>
      <c r="W126" s="188"/>
      <c r="X126" s="188"/>
      <c r="Y126" s="188"/>
      <c r="Z126" s="188"/>
      <c r="AA126" s="188"/>
      <c r="AB126" s="188"/>
      <c r="AC126" s="188"/>
      <c r="AD126" s="188"/>
      <c r="AE126" s="188"/>
      <c r="AF126" s="188"/>
      <c r="AG126" s="188"/>
      <c r="AH126" s="188"/>
      <c r="AI126" s="188"/>
      <c r="AJ126" s="188"/>
      <c r="AK126" s="188"/>
      <c r="AL126" s="188"/>
      <c r="AM126" s="188"/>
      <c r="AN126" s="188"/>
      <c r="AO126" s="188"/>
      <c r="AP126" s="188"/>
      <c r="AQ126" s="188"/>
      <c r="AR126" s="188"/>
      <c r="AS126" s="188"/>
      <c r="AT126" s="188"/>
      <c r="AU126" s="188"/>
      <c r="AV126" s="188"/>
      <c r="AW126" s="188"/>
      <c r="AX126" s="188"/>
      <c r="AY126" s="188"/>
      <c r="AZ126" s="188"/>
      <c r="BA126" s="188"/>
      <c r="BB126" s="188"/>
      <c r="BC126" s="188"/>
      <c r="BD126" s="188"/>
      <c r="BE126" s="188"/>
      <c r="BF126" s="188"/>
      <c r="BG126" s="188"/>
      <c r="BH126" s="188"/>
      <c r="BI126" s="188"/>
      <c r="BJ126" s="188"/>
      <c r="BK126" s="188"/>
      <c r="BL126" s="188"/>
      <c r="BM126" s="188"/>
      <c r="BN126" s="188"/>
      <c r="BO126" s="188"/>
      <c r="BP126" s="188"/>
    </row>
    <row r="127" spans="1:68" x14ac:dyDescent="0.15">
      <c r="A127" s="188"/>
      <c r="B127" s="188"/>
      <c r="C127" s="188"/>
      <c r="D127" s="188"/>
      <c r="E127" s="188"/>
      <c r="F127" s="188"/>
      <c r="G127" s="188"/>
      <c r="H127" s="188"/>
      <c r="I127" s="188"/>
      <c r="J127" s="188"/>
      <c r="K127" s="188"/>
      <c r="L127" s="188"/>
      <c r="M127" s="188"/>
      <c r="N127" s="188"/>
      <c r="O127" s="188"/>
      <c r="P127" s="188"/>
      <c r="Q127" s="188"/>
      <c r="R127" s="188"/>
      <c r="S127" s="188"/>
      <c r="T127" s="188"/>
      <c r="U127" s="188"/>
      <c r="V127" s="188"/>
      <c r="W127" s="188"/>
      <c r="X127" s="188"/>
      <c r="Y127" s="188"/>
      <c r="Z127" s="188"/>
      <c r="AA127" s="188"/>
      <c r="AB127" s="188"/>
      <c r="AC127" s="188"/>
      <c r="AD127" s="188"/>
      <c r="AE127" s="188"/>
      <c r="AF127" s="188"/>
      <c r="AG127" s="188"/>
      <c r="AH127" s="188"/>
      <c r="AI127" s="188"/>
      <c r="AJ127" s="188"/>
      <c r="AK127" s="188"/>
      <c r="AL127" s="188"/>
      <c r="AM127" s="188"/>
      <c r="AN127" s="188"/>
      <c r="AO127" s="188"/>
      <c r="AP127" s="188"/>
      <c r="AQ127" s="188"/>
      <c r="AR127" s="188"/>
      <c r="AS127" s="188"/>
      <c r="AT127" s="188"/>
      <c r="AU127" s="188"/>
      <c r="AV127" s="188"/>
      <c r="AW127" s="188"/>
      <c r="AX127" s="188"/>
      <c r="AY127" s="188"/>
      <c r="AZ127" s="188"/>
      <c r="BA127" s="188"/>
      <c r="BB127" s="188"/>
      <c r="BC127" s="188"/>
      <c r="BD127" s="188"/>
      <c r="BE127" s="188"/>
      <c r="BF127" s="188"/>
      <c r="BG127" s="188"/>
      <c r="BH127" s="188"/>
      <c r="BI127" s="188"/>
      <c r="BJ127" s="188"/>
      <c r="BK127" s="188"/>
      <c r="BL127" s="188"/>
      <c r="BM127" s="188"/>
      <c r="BN127" s="188"/>
      <c r="BO127" s="188"/>
      <c r="BP127" s="188"/>
    </row>
    <row r="128" spans="1:68" x14ac:dyDescent="0.15">
      <c r="A128" s="188"/>
      <c r="B128" s="188"/>
      <c r="C128" s="188"/>
      <c r="D128" s="188"/>
      <c r="E128" s="188"/>
      <c r="F128" s="188"/>
      <c r="G128" s="188"/>
      <c r="H128" s="188"/>
      <c r="I128" s="188"/>
      <c r="J128" s="188"/>
      <c r="K128" s="188"/>
      <c r="L128" s="188"/>
      <c r="M128" s="188"/>
      <c r="N128" s="188"/>
      <c r="O128" s="188"/>
      <c r="P128" s="188"/>
      <c r="Q128" s="188"/>
      <c r="R128" s="188"/>
      <c r="S128" s="188"/>
      <c r="T128" s="188"/>
      <c r="U128" s="188"/>
      <c r="V128" s="188"/>
      <c r="W128" s="188"/>
      <c r="X128" s="188"/>
      <c r="Y128" s="188"/>
      <c r="Z128" s="188"/>
      <c r="AA128" s="188"/>
      <c r="AB128" s="188"/>
      <c r="AC128" s="188"/>
      <c r="AD128" s="188"/>
      <c r="AE128" s="188"/>
      <c r="AF128" s="188"/>
      <c r="AG128" s="188"/>
      <c r="AH128" s="188"/>
      <c r="AI128" s="188"/>
      <c r="AJ128" s="188"/>
      <c r="AK128" s="188"/>
      <c r="AL128" s="188"/>
      <c r="AM128" s="188"/>
      <c r="AN128" s="188"/>
      <c r="AO128" s="188"/>
      <c r="AP128" s="188"/>
      <c r="AQ128" s="188"/>
      <c r="AR128" s="188"/>
      <c r="AS128" s="188"/>
      <c r="AT128" s="188"/>
      <c r="AU128" s="188"/>
      <c r="AV128" s="188"/>
      <c r="AW128" s="188"/>
      <c r="AX128" s="188"/>
      <c r="AY128" s="188"/>
      <c r="AZ128" s="188"/>
      <c r="BA128" s="188"/>
      <c r="BB128" s="188"/>
      <c r="BC128" s="188"/>
      <c r="BD128" s="188"/>
      <c r="BE128" s="188"/>
      <c r="BF128" s="188"/>
      <c r="BG128" s="188"/>
      <c r="BH128" s="188"/>
      <c r="BI128" s="188"/>
      <c r="BJ128" s="188"/>
      <c r="BK128" s="188"/>
      <c r="BL128" s="188"/>
      <c r="BM128" s="188"/>
      <c r="BN128" s="188"/>
      <c r="BO128" s="188"/>
      <c r="BP128" s="188"/>
    </row>
    <row r="129" spans="1:68" x14ac:dyDescent="0.15">
      <c r="A129" s="188"/>
      <c r="B129" s="188"/>
      <c r="C129" s="188"/>
      <c r="D129" s="188"/>
      <c r="E129" s="188"/>
      <c r="F129" s="188"/>
      <c r="G129" s="188"/>
      <c r="H129" s="188"/>
      <c r="I129" s="188"/>
      <c r="J129" s="188"/>
      <c r="K129" s="188"/>
      <c r="L129" s="188"/>
      <c r="M129" s="188"/>
      <c r="N129" s="188"/>
      <c r="O129" s="188"/>
      <c r="P129" s="188"/>
      <c r="Q129" s="188"/>
      <c r="R129" s="188"/>
      <c r="S129" s="188"/>
      <c r="T129" s="188"/>
      <c r="U129" s="188"/>
      <c r="V129" s="188"/>
      <c r="W129" s="188"/>
      <c r="X129" s="188"/>
      <c r="Y129" s="188"/>
      <c r="Z129" s="188"/>
      <c r="AA129" s="188"/>
      <c r="AB129" s="188"/>
      <c r="AC129" s="188"/>
      <c r="AD129" s="188"/>
      <c r="AE129" s="188"/>
      <c r="AF129" s="188"/>
      <c r="AG129" s="188"/>
      <c r="AH129" s="188"/>
      <c r="AI129" s="188"/>
      <c r="AJ129" s="188"/>
      <c r="AK129" s="188"/>
      <c r="AL129" s="188"/>
      <c r="AM129" s="188"/>
      <c r="AN129" s="188"/>
      <c r="AO129" s="188"/>
      <c r="AP129" s="188"/>
      <c r="AQ129" s="188"/>
      <c r="AR129" s="188"/>
      <c r="AS129" s="188"/>
      <c r="AT129" s="188"/>
      <c r="AU129" s="188"/>
      <c r="AV129" s="188"/>
      <c r="AW129" s="188"/>
      <c r="AX129" s="188"/>
      <c r="AY129" s="188"/>
      <c r="AZ129" s="188"/>
      <c r="BA129" s="188"/>
      <c r="BB129" s="188"/>
      <c r="BC129" s="188"/>
      <c r="BD129" s="188"/>
      <c r="BE129" s="188"/>
      <c r="BF129" s="188"/>
      <c r="BG129" s="188"/>
      <c r="BH129" s="188"/>
      <c r="BI129" s="188"/>
      <c r="BJ129" s="188"/>
      <c r="BK129" s="188"/>
      <c r="BL129" s="188"/>
      <c r="BM129" s="188"/>
      <c r="BN129" s="188"/>
      <c r="BO129" s="188"/>
      <c r="BP129" s="188"/>
    </row>
    <row r="130" spans="1:68" x14ac:dyDescent="0.15">
      <c r="A130" s="188"/>
      <c r="B130" s="188"/>
      <c r="C130" s="188"/>
      <c r="D130" s="188"/>
      <c r="E130" s="188"/>
      <c r="F130" s="188"/>
      <c r="G130" s="188"/>
      <c r="H130" s="188"/>
      <c r="I130" s="188"/>
      <c r="J130" s="188"/>
      <c r="K130" s="188"/>
      <c r="L130" s="188"/>
      <c r="M130" s="188"/>
      <c r="N130" s="188"/>
      <c r="O130" s="188"/>
      <c r="P130" s="188"/>
      <c r="Q130" s="188"/>
      <c r="R130" s="188"/>
      <c r="S130" s="188"/>
      <c r="T130" s="188"/>
      <c r="U130" s="188"/>
      <c r="V130" s="188"/>
      <c r="W130" s="188"/>
      <c r="X130" s="188"/>
      <c r="Y130" s="188"/>
      <c r="Z130" s="188"/>
      <c r="AA130" s="188"/>
      <c r="AB130" s="188"/>
      <c r="AC130" s="188"/>
      <c r="AD130" s="188"/>
      <c r="AE130" s="188"/>
      <c r="AF130" s="188"/>
      <c r="AG130" s="188"/>
      <c r="AH130" s="188"/>
      <c r="AI130" s="188"/>
      <c r="AJ130" s="188"/>
      <c r="AK130" s="188"/>
      <c r="AL130" s="188"/>
      <c r="AM130" s="188"/>
      <c r="AN130" s="188"/>
      <c r="AO130" s="188"/>
      <c r="AP130" s="188"/>
      <c r="AQ130" s="188"/>
      <c r="AR130" s="188"/>
      <c r="AS130" s="188"/>
      <c r="AT130" s="188"/>
      <c r="AU130" s="188"/>
      <c r="AV130" s="188"/>
      <c r="AW130" s="188"/>
      <c r="AX130" s="188"/>
      <c r="AY130" s="188"/>
      <c r="AZ130" s="188"/>
      <c r="BA130" s="188"/>
      <c r="BB130" s="188"/>
      <c r="BC130" s="188"/>
      <c r="BD130" s="188"/>
      <c r="BE130" s="188"/>
      <c r="BF130" s="188"/>
      <c r="BG130" s="188"/>
      <c r="BH130" s="188"/>
      <c r="BI130" s="188"/>
      <c r="BJ130" s="188"/>
      <c r="BK130" s="188"/>
      <c r="BL130" s="188"/>
      <c r="BM130" s="188"/>
      <c r="BN130" s="188"/>
      <c r="BO130" s="188"/>
      <c r="BP130" s="188"/>
    </row>
    <row r="131" spans="1:68" x14ac:dyDescent="0.15">
      <c r="A131" s="188"/>
      <c r="B131" s="188"/>
      <c r="C131" s="188"/>
      <c r="D131" s="188"/>
      <c r="E131" s="188"/>
      <c r="F131" s="188"/>
      <c r="G131" s="188"/>
      <c r="H131" s="188"/>
      <c r="I131" s="188"/>
      <c r="J131" s="188"/>
      <c r="K131" s="188"/>
      <c r="L131" s="188"/>
      <c r="M131" s="188"/>
      <c r="N131" s="188"/>
      <c r="O131" s="188"/>
      <c r="P131" s="188"/>
      <c r="Q131" s="188"/>
      <c r="R131" s="188"/>
      <c r="S131" s="188"/>
      <c r="T131" s="188"/>
      <c r="U131" s="188"/>
      <c r="V131" s="188"/>
      <c r="W131" s="188"/>
      <c r="X131" s="188"/>
      <c r="Y131" s="188"/>
      <c r="Z131" s="188"/>
      <c r="AA131" s="188"/>
      <c r="AB131" s="188"/>
      <c r="AC131" s="188"/>
      <c r="AD131" s="188"/>
      <c r="AE131" s="188"/>
      <c r="AF131" s="188"/>
      <c r="AG131" s="188"/>
      <c r="AH131" s="188"/>
      <c r="AI131" s="188"/>
      <c r="AJ131" s="188"/>
      <c r="AK131" s="188"/>
      <c r="AL131" s="188"/>
      <c r="AM131" s="188"/>
      <c r="AN131" s="188"/>
      <c r="AO131" s="188"/>
      <c r="AP131" s="188"/>
      <c r="AQ131" s="188"/>
      <c r="AR131" s="188"/>
      <c r="AS131" s="188"/>
      <c r="AT131" s="188"/>
      <c r="AU131" s="188"/>
      <c r="AV131" s="188"/>
      <c r="AW131" s="188"/>
      <c r="AX131" s="188"/>
      <c r="AY131" s="188"/>
      <c r="AZ131" s="188"/>
      <c r="BA131" s="188"/>
      <c r="BB131" s="188"/>
      <c r="BC131" s="188"/>
      <c r="BD131" s="188"/>
      <c r="BE131" s="188"/>
      <c r="BF131" s="188"/>
      <c r="BG131" s="188"/>
      <c r="BH131" s="188"/>
      <c r="BI131" s="188"/>
      <c r="BJ131" s="188"/>
      <c r="BK131" s="188"/>
      <c r="BL131" s="188"/>
      <c r="BM131" s="188"/>
      <c r="BN131" s="188"/>
      <c r="BO131" s="188"/>
      <c r="BP131" s="188"/>
    </row>
    <row r="132" spans="1:68" x14ac:dyDescent="0.15">
      <c r="A132" s="188"/>
      <c r="B132" s="188"/>
      <c r="C132" s="188"/>
      <c r="D132" s="188"/>
      <c r="E132" s="188"/>
      <c r="F132" s="188"/>
      <c r="G132" s="188"/>
      <c r="H132" s="188"/>
      <c r="I132" s="188"/>
      <c r="J132" s="188"/>
      <c r="K132" s="188"/>
      <c r="L132" s="188"/>
      <c r="M132" s="188"/>
      <c r="N132" s="188"/>
      <c r="O132" s="188"/>
      <c r="P132" s="188"/>
      <c r="Q132" s="188"/>
      <c r="R132" s="188"/>
      <c r="S132" s="188"/>
      <c r="T132" s="188"/>
      <c r="U132" s="188"/>
      <c r="V132" s="188"/>
      <c r="W132" s="188"/>
      <c r="X132" s="188"/>
      <c r="Y132" s="188"/>
      <c r="Z132" s="188"/>
      <c r="AA132" s="188"/>
      <c r="AB132" s="188"/>
      <c r="AC132" s="188"/>
      <c r="AD132" s="188"/>
      <c r="AE132" s="188"/>
      <c r="AF132" s="188"/>
      <c r="AG132" s="188"/>
      <c r="AH132" s="188"/>
      <c r="AI132" s="188"/>
      <c r="AJ132" s="188"/>
      <c r="AK132" s="188"/>
      <c r="AL132" s="188"/>
      <c r="AM132" s="188"/>
      <c r="AN132" s="188"/>
      <c r="AO132" s="188"/>
      <c r="AP132" s="188"/>
      <c r="AQ132" s="188"/>
      <c r="AR132" s="188"/>
      <c r="AS132" s="188"/>
      <c r="AT132" s="188"/>
      <c r="AU132" s="188"/>
      <c r="AV132" s="188"/>
      <c r="AW132" s="188"/>
      <c r="AX132" s="188"/>
      <c r="AY132" s="188"/>
      <c r="AZ132" s="188"/>
      <c r="BA132" s="188"/>
      <c r="BB132" s="188"/>
      <c r="BC132" s="188"/>
      <c r="BD132" s="188"/>
      <c r="BE132" s="188"/>
      <c r="BF132" s="188"/>
      <c r="BG132" s="188"/>
      <c r="BH132" s="188"/>
      <c r="BI132" s="188"/>
      <c r="BJ132" s="188"/>
      <c r="BK132" s="188"/>
      <c r="BL132" s="188"/>
      <c r="BM132" s="188"/>
      <c r="BN132" s="188"/>
      <c r="BO132" s="188"/>
      <c r="BP132" s="188"/>
    </row>
    <row r="133" spans="1:68" x14ac:dyDescent="0.15">
      <c r="A133" s="188"/>
      <c r="B133" s="188"/>
      <c r="C133" s="188"/>
      <c r="D133" s="188"/>
      <c r="E133" s="188"/>
      <c r="F133" s="188"/>
      <c r="G133" s="188"/>
      <c r="H133" s="188"/>
      <c r="I133" s="188"/>
      <c r="J133" s="188"/>
      <c r="K133" s="188"/>
      <c r="L133" s="188"/>
      <c r="M133" s="188"/>
      <c r="N133" s="188"/>
      <c r="O133" s="188"/>
      <c r="P133" s="188"/>
      <c r="Q133" s="188"/>
      <c r="R133" s="188"/>
      <c r="S133" s="188"/>
      <c r="T133" s="188"/>
      <c r="U133" s="188"/>
      <c r="V133" s="188"/>
      <c r="W133" s="188"/>
      <c r="X133" s="188"/>
      <c r="Y133" s="188"/>
      <c r="Z133" s="188"/>
      <c r="AA133" s="188"/>
      <c r="AB133" s="188"/>
      <c r="AC133" s="188"/>
      <c r="AD133" s="188"/>
      <c r="AE133" s="188"/>
      <c r="AF133" s="188"/>
      <c r="AG133" s="188"/>
      <c r="AH133" s="188"/>
      <c r="AI133" s="188"/>
      <c r="AJ133" s="188"/>
      <c r="AK133" s="188"/>
      <c r="AL133" s="188"/>
      <c r="AM133" s="188"/>
      <c r="AN133" s="188"/>
      <c r="AO133" s="188"/>
      <c r="AP133" s="188"/>
      <c r="AQ133" s="188"/>
      <c r="AR133" s="188"/>
      <c r="AS133" s="188"/>
      <c r="AT133" s="188"/>
      <c r="AU133" s="188"/>
      <c r="AV133" s="188"/>
      <c r="AW133" s="188"/>
      <c r="AX133" s="188"/>
      <c r="AY133" s="188"/>
      <c r="AZ133" s="188"/>
      <c r="BA133" s="188"/>
      <c r="BB133" s="188"/>
      <c r="BC133" s="188"/>
      <c r="BD133" s="188"/>
      <c r="BE133" s="188"/>
      <c r="BF133" s="188"/>
      <c r="BG133" s="188"/>
      <c r="BH133" s="188"/>
      <c r="BI133" s="188"/>
      <c r="BJ133" s="188"/>
      <c r="BK133" s="188"/>
      <c r="BL133" s="188"/>
      <c r="BM133" s="188"/>
      <c r="BN133" s="188"/>
      <c r="BO133" s="188"/>
      <c r="BP133" s="188"/>
    </row>
    <row r="134" spans="1:68" x14ac:dyDescent="0.15">
      <c r="A134" s="188"/>
      <c r="B134" s="188"/>
      <c r="C134" s="188"/>
      <c r="D134" s="188"/>
      <c r="E134" s="188"/>
      <c r="F134" s="188"/>
      <c r="G134" s="188"/>
      <c r="H134" s="188"/>
      <c r="I134" s="188"/>
      <c r="J134" s="188"/>
      <c r="K134" s="188"/>
      <c r="L134" s="188"/>
      <c r="M134" s="188"/>
      <c r="N134" s="188"/>
      <c r="O134" s="188"/>
      <c r="P134" s="188"/>
      <c r="Q134" s="188"/>
      <c r="R134" s="188"/>
      <c r="S134" s="188"/>
      <c r="T134" s="188"/>
      <c r="U134" s="188"/>
      <c r="V134" s="188"/>
      <c r="W134" s="188"/>
      <c r="X134" s="188"/>
      <c r="Y134" s="188"/>
      <c r="Z134" s="188"/>
      <c r="AA134" s="188"/>
      <c r="AB134" s="188"/>
      <c r="AC134" s="188"/>
      <c r="AD134" s="188"/>
      <c r="AE134" s="188"/>
      <c r="AF134" s="188"/>
      <c r="AG134" s="188"/>
      <c r="AH134" s="188"/>
      <c r="AI134" s="188"/>
      <c r="AJ134" s="188"/>
      <c r="AK134" s="188"/>
      <c r="AL134" s="188"/>
      <c r="AM134" s="188"/>
      <c r="AN134" s="188"/>
      <c r="AO134" s="188"/>
      <c r="AP134" s="188"/>
      <c r="AQ134" s="188"/>
      <c r="AR134" s="188"/>
      <c r="AS134" s="188"/>
      <c r="AT134" s="188"/>
      <c r="AU134" s="188"/>
      <c r="AV134" s="188"/>
      <c r="AW134" s="188"/>
      <c r="AX134" s="188"/>
      <c r="AY134" s="188"/>
      <c r="AZ134" s="188"/>
      <c r="BA134" s="188"/>
      <c r="BB134" s="188"/>
      <c r="BC134" s="188"/>
      <c r="BD134" s="188"/>
      <c r="BE134" s="188"/>
      <c r="BF134" s="188"/>
      <c r="BG134" s="188"/>
      <c r="BH134" s="188"/>
      <c r="BI134" s="188"/>
      <c r="BJ134" s="188"/>
      <c r="BK134" s="188"/>
      <c r="BL134" s="188"/>
      <c r="BM134" s="188"/>
      <c r="BN134" s="188"/>
      <c r="BO134" s="188"/>
      <c r="BP134" s="188"/>
    </row>
    <row r="135" spans="1:68" x14ac:dyDescent="0.15">
      <c r="A135" s="188"/>
      <c r="B135" s="188"/>
      <c r="C135" s="188"/>
      <c r="D135" s="188"/>
      <c r="E135" s="188"/>
      <c r="F135" s="188"/>
      <c r="G135" s="188"/>
      <c r="H135" s="188"/>
      <c r="I135" s="188"/>
      <c r="J135" s="188"/>
      <c r="K135" s="188"/>
      <c r="L135" s="188"/>
      <c r="M135" s="188"/>
      <c r="N135" s="188"/>
      <c r="O135" s="188"/>
      <c r="P135" s="188"/>
      <c r="Q135" s="188"/>
      <c r="R135" s="188"/>
      <c r="S135" s="188"/>
      <c r="T135" s="188"/>
      <c r="U135" s="188"/>
      <c r="V135" s="188"/>
      <c r="W135" s="188"/>
      <c r="X135" s="188"/>
      <c r="Y135" s="188"/>
      <c r="Z135" s="188"/>
      <c r="AA135" s="188"/>
      <c r="AB135" s="188"/>
      <c r="AC135" s="188"/>
      <c r="AD135" s="188"/>
      <c r="AE135" s="188"/>
      <c r="AF135" s="188"/>
      <c r="AG135" s="188"/>
      <c r="AH135" s="188"/>
      <c r="AI135" s="188"/>
      <c r="AJ135" s="188"/>
      <c r="AK135" s="188"/>
      <c r="AL135" s="188"/>
      <c r="AM135" s="188"/>
      <c r="AN135" s="188"/>
      <c r="AO135" s="188"/>
      <c r="AP135" s="188"/>
      <c r="AQ135" s="188"/>
      <c r="AR135" s="188"/>
      <c r="AS135" s="188"/>
      <c r="AT135" s="188"/>
      <c r="AU135" s="188"/>
      <c r="AV135" s="188"/>
      <c r="AW135" s="188"/>
      <c r="AX135" s="188"/>
      <c r="AY135" s="188"/>
      <c r="AZ135" s="188"/>
      <c r="BA135" s="188"/>
      <c r="BB135" s="188"/>
      <c r="BC135" s="188"/>
      <c r="BD135" s="188"/>
      <c r="BE135" s="188"/>
      <c r="BF135" s="188"/>
      <c r="BG135" s="188"/>
      <c r="BH135" s="188"/>
      <c r="BI135" s="188"/>
      <c r="BJ135" s="188"/>
      <c r="BK135" s="188"/>
      <c r="BL135" s="188"/>
      <c r="BM135" s="188"/>
      <c r="BN135" s="188"/>
      <c r="BO135" s="188"/>
      <c r="BP135" s="188"/>
    </row>
    <row r="136" spans="1:68" x14ac:dyDescent="0.15">
      <c r="A136" s="188"/>
      <c r="B136" s="188"/>
      <c r="C136" s="188"/>
      <c r="D136" s="188"/>
      <c r="E136" s="188"/>
      <c r="F136" s="188"/>
      <c r="G136" s="188"/>
      <c r="H136" s="188"/>
      <c r="I136" s="188"/>
      <c r="J136" s="188"/>
      <c r="K136" s="188"/>
      <c r="L136" s="188"/>
      <c r="M136" s="188"/>
      <c r="N136" s="188"/>
      <c r="O136" s="188"/>
      <c r="P136" s="188"/>
      <c r="Q136" s="188"/>
      <c r="R136" s="188"/>
      <c r="S136" s="188"/>
      <c r="T136" s="188"/>
      <c r="U136" s="188"/>
      <c r="V136" s="188"/>
      <c r="W136" s="188"/>
      <c r="X136" s="188"/>
      <c r="Y136" s="188"/>
      <c r="Z136" s="188"/>
      <c r="AA136" s="188"/>
      <c r="AB136" s="188"/>
      <c r="AC136" s="188"/>
      <c r="AD136" s="188"/>
      <c r="AE136" s="188"/>
      <c r="AF136" s="188"/>
      <c r="AG136" s="188"/>
      <c r="AH136" s="188"/>
      <c r="AI136" s="188"/>
      <c r="AJ136" s="188"/>
      <c r="AK136" s="188"/>
      <c r="AL136" s="188"/>
      <c r="AM136" s="188"/>
      <c r="AN136" s="188"/>
      <c r="AO136" s="188"/>
      <c r="AP136" s="188"/>
      <c r="AQ136" s="188"/>
      <c r="AR136" s="188"/>
      <c r="AS136" s="188"/>
      <c r="AT136" s="188"/>
      <c r="AU136" s="188"/>
      <c r="AV136" s="188"/>
      <c r="AW136" s="188"/>
      <c r="AX136" s="188"/>
      <c r="AY136" s="188"/>
      <c r="AZ136" s="188"/>
      <c r="BA136" s="188"/>
      <c r="BB136" s="188"/>
      <c r="BC136" s="188"/>
      <c r="BD136" s="188"/>
      <c r="BE136" s="188"/>
      <c r="BF136" s="188"/>
      <c r="BG136" s="188"/>
      <c r="BH136" s="188"/>
      <c r="BI136" s="188"/>
      <c r="BJ136" s="188"/>
      <c r="BK136" s="188"/>
      <c r="BL136" s="188"/>
      <c r="BM136" s="188"/>
      <c r="BN136" s="188"/>
      <c r="BO136" s="188"/>
      <c r="BP136" s="188"/>
    </row>
    <row r="137" spans="1:68" x14ac:dyDescent="0.15">
      <c r="A137" s="188"/>
      <c r="B137" s="188"/>
      <c r="C137" s="188"/>
      <c r="D137" s="188"/>
      <c r="E137" s="188"/>
      <c r="F137" s="188"/>
      <c r="G137" s="188"/>
      <c r="H137" s="188"/>
      <c r="I137" s="188"/>
      <c r="J137" s="188"/>
      <c r="K137" s="188"/>
      <c r="L137" s="188"/>
      <c r="M137" s="188"/>
      <c r="N137" s="188"/>
      <c r="O137" s="188"/>
      <c r="P137" s="188"/>
      <c r="Q137" s="188"/>
      <c r="R137" s="188"/>
      <c r="S137" s="188"/>
      <c r="T137" s="188"/>
      <c r="U137" s="188"/>
      <c r="V137" s="188"/>
      <c r="W137" s="188"/>
      <c r="X137" s="188"/>
      <c r="Y137" s="188"/>
      <c r="Z137" s="188"/>
      <c r="AA137" s="188"/>
      <c r="AB137" s="188"/>
      <c r="AC137" s="188"/>
      <c r="AD137" s="188"/>
      <c r="AE137" s="188"/>
      <c r="AF137" s="188"/>
      <c r="AG137" s="188"/>
      <c r="AH137" s="188"/>
      <c r="AI137" s="188"/>
      <c r="AJ137" s="188"/>
      <c r="AK137" s="188"/>
      <c r="AL137" s="188"/>
      <c r="AM137" s="188"/>
      <c r="AN137" s="188"/>
      <c r="AO137" s="188"/>
      <c r="AP137" s="188"/>
      <c r="AQ137" s="188"/>
      <c r="AR137" s="188"/>
      <c r="AS137" s="188"/>
      <c r="AT137" s="188"/>
      <c r="AU137" s="188"/>
      <c r="AV137" s="188"/>
      <c r="AW137" s="188"/>
      <c r="AX137" s="188"/>
      <c r="AY137" s="188"/>
      <c r="AZ137" s="188"/>
      <c r="BA137" s="188"/>
      <c r="BB137" s="188"/>
      <c r="BC137" s="188"/>
      <c r="BD137" s="188"/>
      <c r="BE137" s="188"/>
      <c r="BF137" s="188"/>
      <c r="BG137" s="188"/>
      <c r="BH137" s="188"/>
      <c r="BI137" s="188"/>
      <c r="BJ137" s="188"/>
      <c r="BK137" s="188"/>
      <c r="BL137" s="188"/>
      <c r="BM137" s="188"/>
      <c r="BN137" s="188"/>
      <c r="BO137" s="188"/>
      <c r="BP137" s="188"/>
    </row>
    <row r="138" spans="1:68" x14ac:dyDescent="0.15">
      <c r="A138" s="188"/>
      <c r="B138" s="188"/>
      <c r="C138" s="188"/>
      <c r="D138" s="188"/>
      <c r="E138" s="188"/>
      <c r="F138" s="188"/>
      <c r="G138" s="188"/>
      <c r="H138" s="188"/>
      <c r="I138" s="188"/>
      <c r="J138" s="188"/>
      <c r="K138" s="188"/>
      <c r="L138" s="188"/>
      <c r="M138" s="188"/>
      <c r="N138" s="188"/>
      <c r="O138" s="188"/>
      <c r="P138" s="188"/>
      <c r="Q138" s="188"/>
      <c r="R138" s="188"/>
      <c r="S138" s="188"/>
      <c r="T138" s="188"/>
      <c r="U138" s="188"/>
      <c r="V138" s="188"/>
      <c r="W138" s="188"/>
      <c r="X138" s="188"/>
      <c r="Y138" s="188"/>
      <c r="Z138" s="188"/>
      <c r="AA138" s="188"/>
      <c r="AB138" s="188"/>
      <c r="AC138" s="188"/>
      <c r="AD138" s="188"/>
      <c r="AE138" s="188"/>
      <c r="AF138" s="188"/>
      <c r="AG138" s="188"/>
      <c r="AH138" s="188"/>
      <c r="AI138" s="188"/>
      <c r="AJ138" s="188"/>
      <c r="AK138" s="188"/>
      <c r="AL138" s="188"/>
      <c r="AM138" s="188"/>
      <c r="AN138" s="188"/>
      <c r="AO138" s="188"/>
      <c r="AP138" s="188"/>
      <c r="AQ138" s="188"/>
      <c r="AR138" s="188"/>
      <c r="AS138" s="188"/>
      <c r="AT138" s="188"/>
      <c r="AU138" s="188"/>
      <c r="AV138" s="188"/>
      <c r="AW138" s="188"/>
      <c r="AX138" s="188"/>
      <c r="AY138" s="188"/>
      <c r="AZ138" s="188"/>
      <c r="BA138" s="188"/>
      <c r="BB138" s="188"/>
      <c r="BC138" s="188"/>
      <c r="BD138" s="188"/>
      <c r="BE138" s="188"/>
      <c r="BF138" s="188"/>
      <c r="BG138" s="188"/>
      <c r="BH138" s="188"/>
      <c r="BI138" s="188"/>
      <c r="BJ138" s="188"/>
      <c r="BK138" s="188"/>
      <c r="BL138" s="188"/>
      <c r="BM138" s="188"/>
      <c r="BN138" s="188"/>
      <c r="BO138" s="188"/>
      <c r="BP138" s="188"/>
    </row>
    <row r="139" spans="1:68" x14ac:dyDescent="0.15">
      <c r="A139" s="188"/>
      <c r="B139" s="188"/>
      <c r="C139" s="188"/>
      <c r="D139" s="188"/>
      <c r="E139" s="188"/>
      <c r="F139" s="188"/>
      <c r="G139" s="188"/>
      <c r="H139" s="188"/>
      <c r="I139" s="188"/>
      <c r="J139" s="188"/>
      <c r="K139" s="188"/>
      <c r="L139" s="188"/>
      <c r="M139" s="188"/>
      <c r="N139" s="188"/>
      <c r="O139" s="188"/>
      <c r="P139" s="188"/>
      <c r="Q139" s="188"/>
      <c r="R139" s="188"/>
      <c r="S139" s="188"/>
      <c r="T139" s="188"/>
      <c r="U139" s="188"/>
      <c r="V139" s="188"/>
      <c r="W139" s="188"/>
      <c r="X139" s="188"/>
      <c r="Y139" s="188"/>
      <c r="Z139" s="188"/>
      <c r="AA139" s="188"/>
      <c r="AB139" s="188"/>
      <c r="AC139" s="188"/>
      <c r="AD139" s="188"/>
      <c r="AE139" s="188"/>
      <c r="AF139" s="188"/>
      <c r="AG139" s="188"/>
      <c r="AH139" s="188"/>
      <c r="AI139" s="188"/>
      <c r="AJ139" s="188"/>
      <c r="AK139" s="188"/>
      <c r="AL139" s="188"/>
      <c r="AM139" s="188"/>
      <c r="AN139" s="188"/>
      <c r="AO139" s="188"/>
      <c r="AP139" s="188"/>
      <c r="AQ139" s="188"/>
      <c r="AR139" s="188"/>
      <c r="AS139" s="188"/>
      <c r="AT139" s="188"/>
      <c r="AU139" s="188"/>
      <c r="AV139" s="188"/>
      <c r="AW139" s="188"/>
      <c r="AX139" s="188"/>
      <c r="AY139" s="188"/>
      <c r="AZ139" s="188"/>
      <c r="BA139" s="188"/>
      <c r="BB139" s="188"/>
      <c r="BC139" s="188"/>
      <c r="BD139" s="188"/>
      <c r="BE139" s="188"/>
      <c r="BF139" s="188"/>
      <c r="BG139" s="188"/>
      <c r="BH139" s="188"/>
      <c r="BI139" s="188"/>
      <c r="BJ139" s="188"/>
      <c r="BK139" s="188"/>
      <c r="BL139" s="188"/>
      <c r="BM139" s="188"/>
      <c r="BN139" s="188"/>
      <c r="BO139" s="188"/>
    </row>
  </sheetData>
  <mergeCells count="1">
    <mergeCell ref="B109:AL111"/>
  </mergeCells>
  <phoneticPr fontId="0" type="noConversion"/>
  <printOptions gridLinesSet="0"/>
  <pageMargins left="0" right="0" top="0" bottom="0" header="0.5" footer="0.5"/>
  <pageSetup paperSize="0" fitToHeight="0" orientation="landscape" horizontalDpi="0" verticalDpi="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CE82C-4A46-4C10-99C6-A7E91D0958F1}">
  <sheetPr>
    <outlinePr summaryBelow="0" summaryRight="0"/>
    <pageSetUpPr autoPageBreaks="0" fitToPage="1"/>
  </sheetPr>
  <dimension ref="A1:BP69"/>
  <sheetViews>
    <sheetView showGridLines="0" zoomScale="75" zoomScaleNormal="75" zoomScaleSheetLayoutView="75" workbookViewId="0"/>
  </sheetViews>
  <sheetFormatPr defaultRowHeight="12.75" x14ac:dyDescent="0.15"/>
  <cols>
    <col min="1" max="1" width="1.75" customWidth="1"/>
    <col min="2" max="2" width="9.70703125" customWidth="1"/>
    <col min="3" max="3" width="47.73828125" customWidth="1"/>
    <col min="4" max="4" width="25.75390625" customWidth="1"/>
    <col min="5" max="7" width="9.70703125" customWidth="1"/>
    <col min="8" max="9" width="7.68359375" customWidth="1"/>
    <col min="10" max="37" width="3.234375" customWidth="1"/>
    <col min="38" max="38" width="1.75" customWidth="1"/>
  </cols>
  <sheetData>
    <row r="1" spans="2:68" ht="30" customHeight="1" x14ac:dyDescent="0.25">
      <c r="B1" s="168" t="s">
        <v>571</v>
      </c>
      <c r="E1" s="105"/>
      <c r="F1" s="105"/>
      <c r="G1" s="105"/>
      <c r="H1" s="105"/>
      <c r="I1" s="105"/>
      <c r="J1" s="105"/>
      <c r="K1" s="105"/>
      <c r="L1" s="105"/>
      <c r="M1" s="105"/>
      <c r="N1" s="106"/>
      <c r="O1" s="107"/>
      <c r="P1" s="107"/>
      <c r="Q1" s="107"/>
      <c r="R1" s="107"/>
      <c r="S1" s="108"/>
      <c r="T1" s="108"/>
      <c r="U1" s="108"/>
      <c r="V1" s="108"/>
      <c r="W1" s="108"/>
      <c r="X1" s="108"/>
      <c r="Y1" s="108"/>
      <c r="Z1" s="108"/>
      <c r="AA1" s="108"/>
      <c r="AB1" s="108"/>
      <c r="AC1" s="108"/>
      <c r="AD1" s="108"/>
      <c r="AE1" s="108"/>
      <c r="AF1" s="108"/>
      <c r="AG1" s="108"/>
      <c r="AH1" s="107"/>
      <c r="AI1" s="107"/>
      <c r="AJ1" s="107"/>
      <c r="AK1" s="107"/>
      <c r="AL1" s="107"/>
      <c r="AM1" s="187"/>
      <c r="AN1" s="187"/>
      <c r="AO1" s="187"/>
      <c r="AP1" s="187"/>
      <c r="AQ1" s="187"/>
      <c r="AR1" s="187"/>
      <c r="AS1" s="187"/>
      <c r="AT1" s="187"/>
      <c r="AU1" s="187"/>
      <c r="AV1" s="187"/>
      <c r="AW1" s="188"/>
      <c r="AX1" s="188"/>
      <c r="AY1" s="188"/>
      <c r="AZ1" s="188"/>
      <c r="BA1" s="188"/>
      <c r="BB1" s="188"/>
      <c r="BC1" s="188"/>
      <c r="BD1" s="188"/>
      <c r="BE1" s="188"/>
      <c r="BF1" s="188"/>
      <c r="BG1" s="188"/>
      <c r="BH1" s="188"/>
      <c r="BI1" s="188"/>
      <c r="BJ1" s="188"/>
      <c r="BK1" s="188"/>
      <c r="BL1" s="188"/>
      <c r="BM1" s="188"/>
      <c r="BN1" s="188"/>
      <c r="BO1" s="188"/>
      <c r="BP1" s="188"/>
    </row>
    <row r="2" spans="2:68" ht="20.100000000000001" customHeight="1" x14ac:dyDescent="0.15">
      <c r="B2" t="s">
        <v>1</v>
      </c>
      <c r="E2" s="105"/>
      <c r="F2" s="105"/>
      <c r="G2" s="105"/>
      <c r="H2" s="105"/>
      <c r="I2" s="105"/>
      <c r="J2" s="105"/>
      <c r="K2" s="105"/>
      <c r="L2" s="105"/>
      <c r="M2" s="105"/>
      <c r="N2" s="106"/>
      <c r="O2" s="107"/>
      <c r="P2" s="107"/>
      <c r="Q2" s="107"/>
      <c r="R2" s="107"/>
      <c r="S2" s="108"/>
      <c r="T2" s="108"/>
      <c r="U2" s="108"/>
      <c r="V2" s="108"/>
      <c r="W2" s="108"/>
      <c r="X2" s="108"/>
      <c r="Y2" s="108"/>
      <c r="Z2" s="108"/>
      <c r="AA2" s="108"/>
      <c r="AB2" s="108"/>
      <c r="AC2" s="108"/>
      <c r="AD2" s="108"/>
      <c r="AE2" s="108"/>
      <c r="AF2" s="108"/>
      <c r="AG2" s="108"/>
      <c r="AM2" s="28"/>
      <c r="AN2" s="28"/>
      <c r="AO2" s="28"/>
      <c r="AP2" s="28"/>
      <c r="AQ2" s="28"/>
      <c r="AR2" s="28"/>
      <c r="AS2" s="28"/>
      <c r="AT2" s="28"/>
      <c r="AU2" s="28"/>
      <c r="AV2" s="28"/>
      <c r="AW2" s="188"/>
      <c r="AX2" s="188"/>
      <c r="AY2" s="188"/>
      <c r="AZ2" s="188"/>
      <c r="BA2" s="188"/>
      <c r="BB2" s="188"/>
      <c r="BC2" s="188"/>
      <c r="BD2" s="188"/>
      <c r="BE2" s="188"/>
      <c r="BF2" s="188"/>
      <c r="BG2" s="188"/>
      <c r="BH2" s="188"/>
      <c r="BI2" s="188"/>
      <c r="BJ2" s="188"/>
      <c r="BK2" s="188"/>
      <c r="BL2" s="188"/>
      <c r="BM2" s="188"/>
      <c r="BN2" s="188"/>
      <c r="BO2" s="188"/>
      <c r="BP2" s="188"/>
    </row>
    <row r="3" spans="2:68" ht="20.100000000000001" customHeight="1" x14ac:dyDescent="0.15">
      <c r="B3" t="s">
        <v>2</v>
      </c>
      <c r="E3" s="105"/>
      <c r="F3" s="105"/>
      <c r="G3" s="105"/>
      <c r="H3" s="105"/>
      <c r="I3" s="105"/>
      <c r="J3" s="105"/>
      <c r="K3" s="105"/>
      <c r="L3" s="105"/>
      <c r="M3" s="105"/>
      <c r="N3" s="106"/>
      <c r="O3" s="107"/>
      <c r="P3" s="107"/>
      <c r="Q3" s="107"/>
      <c r="R3" s="107"/>
      <c r="S3" s="108"/>
      <c r="T3" s="108"/>
      <c r="U3" s="108"/>
      <c r="V3" s="108"/>
      <c r="W3" s="108"/>
      <c r="X3" s="108"/>
      <c r="Y3" s="108"/>
      <c r="Z3" s="108"/>
      <c r="AA3" s="108"/>
      <c r="AB3" s="108"/>
      <c r="AC3" s="108"/>
      <c r="AD3" s="108"/>
      <c r="AE3" s="108"/>
      <c r="AF3" s="108"/>
      <c r="AG3" s="108"/>
      <c r="AM3" s="28"/>
      <c r="AN3" s="28"/>
      <c r="AO3" s="28"/>
      <c r="AP3" s="28"/>
      <c r="AQ3" s="28"/>
      <c r="AR3" s="28"/>
      <c r="AS3" s="28"/>
      <c r="AT3" s="28"/>
      <c r="AU3" s="28"/>
      <c r="AV3" s="28"/>
      <c r="AW3" s="188"/>
      <c r="AX3" s="188"/>
      <c r="AY3" s="188"/>
      <c r="AZ3" s="188"/>
      <c r="BA3" s="188"/>
      <c r="BB3" s="188"/>
      <c r="BC3" s="188"/>
      <c r="BD3" s="188"/>
      <c r="BE3" s="188"/>
      <c r="BF3" s="188"/>
      <c r="BG3" s="188"/>
      <c r="BH3" s="188"/>
      <c r="BI3" s="188"/>
      <c r="BJ3" s="188"/>
      <c r="BK3" s="188"/>
      <c r="BL3" s="188"/>
      <c r="BM3" s="188"/>
      <c r="BN3" s="188"/>
      <c r="BO3" s="188"/>
      <c r="BP3" s="188"/>
    </row>
    <row r="4" spans="2:68" ht="15" customHeight="1" x14ac:dyDescent="0.15">
      <c r="E4" s="107"/>
      <c r="F4" s="106"/>
      <c r="G4" s="107"/>
      <c r="H4" s="106"/>
      <c r="I4" s="107"/>
      <c r="J4" s="106"/>
      <c r="K4" s="107"/>
      <c r="L4" s="106"/>
      <c r="M4" s="107"/>
      <c r="N4" s="106"/>
      <c r="O4" s="109"/>
      <c r="P4" s="110"/>
      <c r="Q4" s="110"/>
      <c r="R4" s="107"/>
      <c r="S4" s="108"/>
      <c r="T4" s="108"/>
      <c r="U4" s="108"/>
      <c r="V4" s="108"/>
      <c r="W4" s="108"/>
      <c r="X4" s="108"/>
      <c r="Y4" s="108"/>
      <c r="Z4" s="108"/>
      <c r="AA4" s="108"/>
      <c r="AB4" s="108"/>
      <c r="AC4" s="108"/>
      <c r="AD4" s="108"/>
      <c r="AE4" s="108"/>
      <c r="AF4" s="108"/>
      <c r="AG4" s="108"/>
      <c r="AH4" s="107"/>
      <c r="AI4" s="107"/>
      <c r="AJ4" s="107"/>
      <c r="AK4" s="107"/>
      <c r="AL4" s="107"/>
      <c r="AM4" s="187"/>
      <c r="AN4" s="187"/>
      <c r="AO4" s="187"/>
      <c r="AP4" s="187"/>
      <c r="AQ4" s="187"/>
      <c r="AR4" s="187"/>
      <c r="AS4" s="187"/>
      <c r="AT4" s="187"/>
      <c r="AU4" s="187"/>
      <c r="AV4" s="187"/>
      <c r="AW4" s="188"/>
      <c r="AX4" s="188"/>
      <c r="AY4" s="188"/>
      <c r="AZ4" s="188"/>
      <c r="BA4" s="188"/>
      <c r="BB4" s="188"/>
      <c r="BC4" s="188"/>
      <c r="BD4" s="188"/>
      <c r="BE4" s="188"/>
      <c r="BF4" s="188"/>
      <c r="BG4" s="188"/>
      <c r="BH4" s="188"/>
      <c r="BI4" s="188"/>
      <c r="BJ4" s="188"/>
      <c r="BK4" s="188"/>
      <c r="BL4" s="188"/>
      <c r="BM4" s="188"/>
      <c r="BN4" s="188"/>
      <c r="BO4" s="188"/>
      <c r="BP4" s="188"/>
    </row>
    <row r="5" spans="2:68" ht="15" customHeight="1" x14ac:dyDescent="0.15">
      <c r="E5" s="111"/>
      <c r="F5" s="111"/>
      <c r="G5" s="111"/>
      <c r="H5" s="111"/>
      <c r="I5" s="111"/>
      <c r="J5" s="111"/>
      <c r="K5" s="111"/>
      <c r="L5" s="111"/>
      <c r="M5" s="111"/>
      <c r="N5" s="111"/>
      <c r="O5" s="112"/>
      <c r="P5" s="108"/>
      <c r="Q5" s="108"/>
      <c r="R5" s="108"/>
      <c r="S5" s="108"/>
      <c r="T5" s="108"/>
      <c r="U5" s="108"/>
      <c r="V5" s="108"/>
      <c r="W5" s="108"/>
      <c r="X5" s="108"/>
      <c r="Y5" s="108"/>
      <c r="Z5" s="108"/>
      <c r="AA5" s="108"/>
      <c r="AB5" s="108"/>
      <c r="AC5" s="108"/>
      <c r="AD5" s="108"/>
      <c r="AE5" s="108"/>
      <c r="AF5" s="108"/>
      <c r="AG5" s="108"/>
      <c r="AH5" s="108"/>
      <c r="AI5" s="108"/>
      <c r="AJ5" s="108"/>
      <c r="AK5" s="108"/>
      <c r="AL5" s="113"/>
      <c r="AM5" s="189"/>
      <c r="AN5" s="189"/>
      <c r="AO5" s="189"/>
      <c r="AP5" s="189"/>
      <c r="AQ5" s="189"/>
      <c r="AR5" s="189"/>
      <c r="AS5" s="189"/>
      <c r="AT5" s="189"/>
      <c r="AU5" s="189"/>
      <c r="AV5" s="189"/>
      <c r="AW5" s="188"/>
      <c r="AX5" s="188"/>
      <c r="AY5" s="188"/>
      <c r="AZ5" s="188"/>
      <c r="BA5" s="188"/>
      <c r="BB5" s="188"/>
      <c r="BC5" s="188"/>
      <c r="BD5" s="188"/>
      <c r="BE5" s="188"/>
      <c r="BF5" s="188"/>
      <c r="BG5" s="188"/>
      <c r="BH5" s="188"/>
      <c r="BI5" s="188"/>
      <c r="BJ5" s="188"/>
      <c r="BK5" s="188"/>
      <c r="BL5" s="188"/>
      <c r="BM5" s="188"/>
      <c r="BN5" s="188"/>
      <c r="BO5" s="188"/>
      <c r="BP5" s="188"/>
    </row>
    <row r="6" spans="2:68" ht="30" customHeight="1" x14ac:dyDescent="0.15">
      <c r="B6" s="114"/>
      <c r="C6" s="114"/>
      <c r="D6" s="114"/>
      <c r="E6" s="114"/>
      <c r="F6" s="114"/>
      <c r="G6" s="114"/>
      <c r="H6" s="114"/>
      <c r="I6" s="115"/>
      <c r="J6" s="116" t="s">
        <v>19</v>
      </c>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t="s">
        <v>22</v>
      </c>
      <c r="AK6" s="118"/>
      <c r="AL6" s="107"/>
      <c r="AM6" s="187"/>
      <c r="AN6" s="187"/>
      <c r="AO6" s="187"/>
      <c r="AP6" s="187"/>
      <c r="AQ6" s="187"/>
      <c r="AR6" s="187"/>
      <c r="AS6" s="187"/>
      <c r="AT6" s="187"/>
      <c r="AU6" s="187"/>
      <c r="AV6" s="187"/>
      <c r="AW6" s="188"/>
      <c r="AX6" s="188"/>
      <c r="AY6" s="188"/>
      <c r="AZ6" s="188"/>
      <c r="BA6" s="188"/>
      <c r="BB6" s="188"/>
      <c r="BC6" s="188"/>
      <c r="BD6" s="188"/>
      <c r="BE6" s="188"/>
      <c r="BF6" s="188"/>
      <c r="BG6" s="188"/>
      <c r="BH6" s="188"/>
      <c r="BI6" s="188"/>
      <c r="BJ6" s="188"/>
      <c r="BK6" s="188"/>
      <c r="BL6" s="188"/>
      <c r="BM6" s="188"/>
      <c r="BN6" s="188"/>
      <c r="BO6" s="188"/>
      <c r="BP6" s="188"/>
    </row>
    <row r="7" spans="2:68" ht="24.95" customHeight="1" x14ac:dyDescent="0.15">
      <c r="B7" s="119" t="s">
        <v>70</v>
      </c>
      <c r="C7" s="119" t="s">
        <v>71</v>
      </c>
      <c r="D7" s="119" t="s">
        <v>72</v>
      </c>
      <c r="E7" s="119" t="s">
        <v>73</v>
      </c>
      <c r="F7" s="119" t="s">
        <v>74</v>
      </c>
      <c r="G7" s="119" t="s">
        <v>75</v>
      </c>
      <c r="H7" s="120" t="s">
        <v>76</v>
      </c>
      <c r="I7" s="119" t="s">
        <v>77</v>
      </c>
      <c r="J7" s="121">
        <v>5</v>
      </c>
      <c r="K7" s="121">
        <v>6</v>
      </c>
      <c r="L7" s="121">
        <v>7</v>
      </c>
      <c r="M7" s="121">
        <v>8</v>
      </c>
      <c r="N7" s="121">
        <v>9</v>
      </c>
      <c r="O7" s="121">
        <v>10</v>
      </c>
      <c r="P7" s="121">
        <v>11</v>
      </c>
      <c r="Q7" s="121">
        <v>12</v>
      </c>
      <c r="R7" s="121">
        <v>13</v>
      </c>
      <c r="S7" s="121">
        <v>14</v>
      </c>
      <c r="T7" s="121">
        <v>15</v>
      </c>
      <c r="U7" s="121">
        <v>16</v>
      </c>
      <c r="V7" s="121">
        <v>17</v>
      </c>
      <c r="W7" s="121">
        <v>18</v>
      </c>
      <c r="X7" s="121">
        <v>19</v>
      </c>
      <c r="Y7" s="121">
        <v>20</v>
      </c>
      <c r="Z7" s="121">
        <v>21</v>
      </c>
      <c r="AA7" s="121">
        <v>22</v>
      </c>
      <c r="AB7" s="121">
        <v>23</v>
      </c>
      <c r="AC7" s="121">
        <v>24</v>
      </c>
      <c r="AD7" s="121">
        <v>25</v>
      </c>
      <c r="AE7" s="121">
        <v>26</v>
      </c>
      <c r="AF7" s="121">
        <v>27</v>
      </c>
      <c r="AG7" s="121">
        <v>28</v>
      </c>
      <c r="AH7" s="121">
        <v>29</v>
      </c>
      <c r="AI7" s="121">
        <v>30</v>
      </c>
      <c r="AJ7" s="121">
        <v>1</v>
      </c>
      <c r="AK7" s="121">
        <v>2</v>
      </c>
      <c r="AL7" s="107"/>
      <c r="AM7" s="187"/>
      <c r="AN7" s="187"/>
      <c r="AO7" s="187"/>
      <c r="AP7" s="187"/>
      <c r="AQ7" s="187"/>
      <c r="AR7" s="187"/>
      <c r="AS7" s="187"/>
      <c r="AT7" s="187"/>
      <c r="AU7" s="187"/>
      <c r="AV7" s="187"/>
      <c r="AW7" s="188"/>
      <c r="AX7" s="188"/>
      <c r="AY7" s="188"/>
      <c r="AZ7" s="188"/>
      <c r="BA7" s="188"/>
      <c r="BB7" s="188"/>
      <c r="BC7" s="188"/>
      <c r="BD7" s="188"/>
      <c r="BE7" s="188"/>
      <c r="BF7" s="188"/>
      <c r="BG7" s="188"/>
      <c r="BH7" s="188"/>
      <c r="BI7" s="188"/>
      <c r="BJ7" s="188"/>
      <c r="BK7" s="188"/>
      <c r="BL7" s="188"/>
      <c r="BM7" s="188"/>
      <c r="BN7" s="188"/>
      <c r="BO7" s="188"/>
      <c r="BP7" s="188"/>
    </row>
    <row r="8" spans="2:68" x14ac:dyDescent="0.15">
      <c r="B8" s="170">
        <v>22707</v>
      </c>
      <c r="C8" s="170" t="s">
        <v>572</v>
      </c>
      <c r="D8" s="170" t="s">
        <v>573</v>
      </c>
      <c r="E8" s="170" t="s">
        <v>574</v>
      </c>
      <c r="F8" s="170" t="s">
        <v>575</v>
      </c>
      <c r="G8" s="170" t="s">
        <v>95</v>
      </c>
      <c r="H8" s="170">
        <v>0</v>
      </c>
      <c r="I8" s="169"/>
      <c r="J8" s="170"/>
      <c r="K8" s="171"/>
      <c r="L8" s="171"/>
      <c r="M8" s="171"/>
      <c r="N8" s="171"/>
      <c r="O8" s="171"/>
      <c r="P8" s="171"/>
      <c r="Q8" s="171"/>
      <c r="R8" s="171"/>
      <c r="S8" s="171"/>
      <c r="T8" s="171"/>
      <c r="U8" s="171"/>
      <c r="V8" s="171"/>
      <c r="W8" s="171"/>
      <c r="X8" s="171"/>
      <c r="Y8" s="171"/>
      <c r="Z8" s="171"/>
      <c r="AA8" s="171"/>
      <c r="AB8" s="171"/>
      <c r="AC8" s="171"/>
      <c r="AD8" s="171"/>
      <c r="AE8" s="171"/>
      <c r="AF8" s="171"/>
      <c r="AG8" s="171"/>
      <c r="AH8" s="171"/>
      <c r="AI8" s="171"/>
      <c r="AJ8" s="171"/>
      <c r="AK8" s="171"/>
      <c r="AL8" s="141"/>
      <c r="AM8" s="188"/>
      <c r="AN8" s="188"/>
      <c r="AO8" s="188"/>
      <c r="AP8" s="188"/>
      <c r="AQ8" s="188"/>
      <c r="AR8" s="188"/>
      <c r="AS8" s="188"/>
      <c r="AT8" s="188"/>
      <c r="AU8" s="188"/>
      <c r="AV8" s="188"/>
      <c r="AW8" s="188"/>
      <c r="AX8" s="188"/>
      <c r="AY8" s="188"/>
      <c r="AZ8" s="188"/>
      <c r="BA8" s="188"/>
      <c r="BB8" s="188"/>
      <c r="BC8" s="188"/>
      <c r="BD8" s="188"/>
      <c r="BE8" s="188"/>
      <c r="BF8" s="188"/>
      <c r="BG8" s="188"/>
      <c r="BH8" s="188"/>
      <c r="BI8" s="188"/>
      <c r="BJ8" s="188"/>
      <c r="BK8" s="188"/>
      <c r="BL8" s="188"/>
      <c r="BM8" s="188"/>
      <c r="BN8" s="188"/>
      <c r="BO8" s="188"/>
      <c r="BP8" s="188"/>
    </row>
    <row r="9" spans="2:68" x14ac:dyDescent="0.15">
      <c r="B9" s="141">
        <v>26225</v>
      </c>
      <c r="C9" s="141" t="s">
        <v>576</v>
      </c>
      <c r="D9" s="141" t="s">
        <v>573</v>
      </c>
      <c r="E9" s="141" t="s">
        <v>574</v>
      </c>
      <c r="F9" s="141" t="s">
        <v>577</v>
      </c>
      <c r="G9" s="141" t="s">
        <v>137</v>
      </c>
      <c r="H9" s="141">
        <v>103</v>
      </c>
      <c r="I9" s="172"/>
      <c r="J9" s="141" t="s">
        <v>83</v>
      </c>
      <c r="K9" s="173" t="s">
        <v>83</v>
      </c>
      <c r="L9" s="173" t="s">
        <v>83</v>
      </c>
      <c r="M9" s="173" t="s">
        <v>83</v>
      </c>
      <c r="N9" s="173" t="s">
        <v>83</v>
      </c>
      <c r="O9" s="173" t="s">
        <v>83</v>
      </c>
      <c r="P9" s="173" t="s">
        <v>83</v>
      </c>
      <c r="Q9" s="173" t="s">
        <v>83</v>
      </c>
      <c r="R9" s="173" t="s">
        <v>83</v>
      </c>
      <c r="S9" s="173" t="s">
        <v>83</v>
      </c>
      <c r="T9" s="173" t="s">
        <v>83</v>
      </c>
      <c r="U9" s="173" t="s">
        <v>83</v>
      </c>
      <c r="V9" s="173" t="s">
        <v>83</v>
      </c>
      <c r="W9" s="173" t="s">
        <v>83</v>
      </c>
      <c r="X9" s="173" t="s">
        <v>83</v>
      </c>
      <c r="Y9" s="173" t="s">
        <v>83</v>
      </c>
      <c r="Z9" s="173" t="s">
        <v>83</v>
      </c>
      <c r="AA9" s="173" t="s">
        <v>83</v>
      </c>
      <c r="AB9" s="173" t="s">
        <v>83</v>
      </c>
      <c r="AC9" s="173" t="s">
        <v>83</v>
      </c>
      <c r="AD9" s="173" t="s">
        <v>83</v>
      </c>
      <c r="AE9" s="173" t="s">
        <v>83</v>
      </c>
      <c r="AF9" s="173" t="s">
        <v>83</v>
      </c>
      <c r="AG9" s="173" t="s">
        <v>83</v>
      </c>
      <c r="AH9" s="173" t="s">
        <v>83</v>
      </c>
      <c r="AI9" s="173" t="s">
        <v>83</v>
      </c>
      <c r="AJ9" s="173" t="s">
        <v>83</v>
      </c>
      <c r="AK9" s="173" t="s">
        <v>83</v>
      </c>
      <c r="AL9" s="141"/>
      <c r="AM9" s="188"/>
      <c r="AN9" s="188"/>
      <c r="AO9" s="188"/>
      <c r="AP9" s="188"/>
      <c r="AQ9" s="188"/>
      <c r="AR9" s="188"/>
      <c r="AS9" s="188"/>
      <c r="AT9" s="188"/>
      <c r="AU9" s="188"/>
      <c r="AV9" s="188"/>
      <c r="AW9" s="188"/>
      <c r="AX9" s="188"/>
      <c r="AY9" s="188"/>
      <c r="AZ9" s="188"/>
      <c r="BA9" s="188"/>
      <c r="BB9" s="188"/>
      <c r="BC9" s="188"/>
      <c r="BD9" s="188"/>
      <c r="BE9" s="188"/>
      <c r="BF9" s="188"/>
      <c r="BG9" s="188"/>
      <c r="BH9" s="188"/>
      <c r="BI9" s="188"/>
      <c r="BJ9" s="188"/>
      <c r="BK9" s="188"/>
      <c r="BL9" s="188"/>
      <c r="BM9" s="188"/>
      <c r="BN9" s="188"/>
      <c r="BO9" s="188"/>
      <c r="BP9" s="188"/>
    </row>
    <row r="10" spans="2:68" x14ac:dyDescent="0.15">
      <c r="B10" s="170">
        <v>37434</v>
      </c>
      <c r="C10" s="170" t="s">
        <v>578</v>
      </c>
      <c r="D10" s="170" t="s">
        <v>573</v>
      </c>
      <c r="E10" s="170" t="s">
        <v>574</v>
      </c>
      <c r="F10" s="170" t="s">
        <v>212</v>
      </c>
      <c r="G10" s="170" t="s">
        <v>212</v>
      </c>
      <c r="H10" s="170">
        <v>104</v>
      </c>
      <c r="I10" s="169"/>
      <c r="J10" s="170" t="s">
        <v>83</v>
      </c>
      <c r="K10" s="171" t="s">
        <v>83</v>
      </c>
      <c r="L10" s="171" t="s">
        <v>83</v>
      </c>
      <c r="M10" s="171" t="s">
        <v>83</v>
      </c>
      <c r="N10" s="171" t="s">
        <v>83</v>
      </c>
      <c r="O10" s="171" t="s">
        <v>83</v>
      </c>
      <c r="P10" s="171" t="s">
        <v>83</v>
      </c>
      <c r="Q10" s="171" t="s">
        <v>83</v>
      </c>
      <c r="R10" s="171" t="s">
        <v>83</v>
      </c>
      <c r="S10" s="171" t="s">
        <v>83</v>
      </c>
      <c r="T10" s="171" t="s">
        <v>83</v>
      </c>
      <c r="U10" s="171" t="s">
        <v>83</v>
      </c>
      <c r="V10" s="171" t="s">
        <v>83</v>
      </c>
      <c r="W10" s="171" t="s">
        <v>83</v>
      </c>
      <c r="X10" s="171" t="s">
        <v>83</v>
      </c>
      <c r="Y10" s="171" t="s">
        <v>83</v>
      </c>
      <c r="Z10" s="171" t="s">
        <v>83</v>
      </c>
      <c r="AA10" s="171" t="s">
        <v>83</v>
      </c>
      <c r="AB10" s="171" t="s">
        <v>83</v>
      </c>
      <c r="AC10" s="171" t="s">
        <v>83</v>
      </c>
      <c r="AD10" s="171" t="s">
        <v>83</v>
      </c>
      <c r="AE10" s="171" t="s">
        <v>83</v>
      </c>
      <c r="AF10" s="171" t="s">
        <v>83</v>
      </c>
      <c r="AG10" s="171" t="s">
        <v>83</v>
      </c>
      <c r="AH10" s="171" t="s">
        <v>83</v>
      </c>
      <c r="AI10" s="171" t="s">
        <v>83</v>
      </c>
      <c r="AJ10" s="171" t="s">
        <v>83</v>
      </c>
      <c r="AK10" s="171" t="s">
        <v>83</v>
      </c>
      <c r="AL10" s="141"/>
      <c r="AM10" s="188"/>
      <c r="AN10" s="188"/>
      <c r="AO10" s="188"/>
      <c r="AP10" s="188"/>
      <c r="AQ10" s="188"/>
      <c r="AR10" s="188"/>
      <c r="AS10" s="188"/>
      <c r="AT10" s="188"/>
      <c r="AU10" s="188"/>
      <c r="AV10" s="188"/>
      <c r="AW10" s="188"/>
      <c r="AX10" s="188"/>
      <c r="AY10" s="188"/>
      <c r="AZ10" s="188"/>
      <c r="BA10" s="188"/>
      <c r="BB10" s="188"/>
      <c r="BC10" s="188"/>
      <c r="BD10" s="188"/>
      <c r="BE10" s="188"/>
      <c r="BF10" s="188"/>
      <c r="BG10" s="188"/>
      <c r="BH10" s="188"/>
      <c r="BI10" s="188"/>
      <c r="BJ10" s="188"/>
      <c r="BK10" s="188"/>
      <c r="BL10" s="188"/>
      <c r="BM10" s="188"/>
      <c r="BN10" s="188"/>
      <c r="BO10" s="188"/>
      <c r="BP10" s="188"/>
    </row>
    <row r="11" spans="2:68" x14ac:dyDescent="0.15">
      <c r="B11" s="141">
        <v>74669</v>
      </c>
      <c r="C11" s="141" t="s">
        <v>579</v>
      </c>
      <c r="D11" s="141" t="s">
        <v>573</v>
      </c>
      <c r="E11" s="141" t="s">
        <v>574</v>
      </c>
      <c r="F11" s="141" t="s">
        <v>550</v>
      </c>
      <c r="G11" s="141" t="s">
        <v>557</v>
      </c>
      <c r="H11" s="141">
        <v>12</v>
      </c>
      <c r="I11" s="172" t="s">
        <v>87</v>
      </c>
      <c r="J11" s="141"/>
      <c r="K11" s="173"/>
      <c r="L11" s="173"/>
      <c r="M11" s="173"/>
      <c r="N11" s="173"/>
      <c r="O11" s="173"/>
      <c r="P11" s="173"/>
      <c r="Q11" s="173"/>
      <c r="R11" s="173"/>
      <c r="S11" s="173"/>
      <c r="T11" s="173"/>
      <c r="U11" s="173"/>
      <c r="V11" s="173"/>
      <c r="W11" s="173"/>
      <c r="X11" s="173"/>
      <c r="Y11" s="173"/>
      <c r="Z11" s="173"/>
      <c r="AA11" s="173"/>
      <c r="AB11" s="173"/>
      <c r="AC11" s="173"/>
      <c r="AD11" s="173"/>
      <c r="AE11" s="173"/>
      <c r="AF11" s="173"/>
      <c r="AG11" s="173"/>
      <c r="AH11" s="173"/>
      <c r="AI11" s="173"/>
      <c r="AJ11" s="173"/>
      <c r="AK11" s="173"/>
      <c r="AL11" s="141"/>
      <c r="AM11" s="188"/>
      <c r="AN11" s="188"/>
      <c r="AO11" s="188"/>
      <c r="AP11" s="188"/>
      <c r="AQ11" s="188"/>
      <c r="AR11" s="188"/>
      <c r="AS11" s="188"/>
      <c r="AT11" s="188"/>
      <c r="AU11" s="188"/>
      <c r="AV11" s="188"/>
      <c r="AW11" s="188"/>
      <c r="AX11" s="188"/>
      <c r="AY11" s="188"/>
      <c r="AZ11" s="188"/>
      <c r="BA11" s="188"/>
      <c r="BB11" s="188"/>
      <c r="BC11" s="188"/>
      <c r="BD11" s="188"/>
      <c r="BE11" s="188"/>
      <c r="BF11" s="188"/>
      <c r="BG11" s="188"/>
      <c r="BH11" s="188"/>
      <c r="BI11" s="188"/>
      <c r="BJ11" s="188"/>
      <c r="BK11" s="188"/>
      <c r="BL11" s="188"/>
      <c r="BM11" s="188"/>
      <c r="BN11" s="188"/>
      <c r="BO11" s="188"/>
      <c r="BP11" s="188"/>
    </row>
    <row r="12" spans="2:68" x14ac:dyDescent="0.15">
      <c r="B12" s="170">
        <v>14740</v>
      </c>
      <c r="C12" s="170" t="s">
        <v>580</v>
      </c>
      <c r="D12" s="170" t="s">
        <v>573</v>
      </c>
      <c r="E12" s="170" t="s">
        <v>574</v>
      </c>
      <c r="F12" s="170" t="s">
        <v>581</v>
      </c>
      <c r="G12" s="170" t="s">
        <v>582</v>
      </c>
      <c r="H12" s="170">
        <v>224</v>
      </c>
      <c r="I12" s="169"/>
      <c r="J12" s="170"/>
      <c r="K12" s="171"/>
      <c r="L12" s="171"/>
      <c r="M12" s="171"/>
      <c r="N12" s="171"/>
      <c r="O12" s="171"/>
      <c r="P12" s="171"/>
      <c r="Q12" s="171"/>
      <c r="R12" s="171"/>
      <c r="S12" s="171"/>
      <c r="T12" s="171"/>
      <c r="U12" s="171"/>
      <c r="V12" s="171"/>
      <c r="W12" s="171"/>
      <c r="X12" s="171"/>
      <c r="Y12" s="171"/>
      <c r="Z12" s="171"/>
      <c r="AA12" s="171"/>
      <c r="AB12" s="171"/>
      <c r="AC12" s="171"/>
      <c r="AD12" s="171"/>
      <c r="AE12" s="171"/>
      <c r="AF12" s="171"/>
      <c r="AG12" s="171"/>
      <c r="AH12" s="171"/>
      <c r="AI12" s="171"/>
      <c r="AJ12" s="171"/>
      <c r="AK12" s="171"/>
      <c r="AL12" s="141"/>
      <c r="AM12" s="188"/>
      <c r="AN12" s="188"/>
      <c r="AO12" s="188"/>
      <c r="AP12" s="188"/>
      <c r="AQ12" s="188"/>
      <c r="AR12" s="188"/>
      <c r="AS12" s="188"/>
      <c r="AT12" s="188"/>
      <c r="AU12" s="188"/>
      <c r="AV12" s="188"/>
      <c r="AW12" s="188"/>
      <c r="AX12" s="188"/>
      <c r="AY12" s="188"/>
      <c r="AZ12" s="188"/>
      <c r="BA12" s="188"/>
      <c r="BB12" s="188"/>
      <c r="BC12" s="188"/>
      <c r="BD12" s="188"/>
      <c r="BE12" s="188"/>
      <c r="BF12" s="188"/>
      <c r="BG12" s="188"/>
      <c r="BH12" s="188"/>
      <c r="BI12" s="188"/>
      <c r="BJ12" s="188"/>
      <c r="BK12" s="188"/>
      <c r="BL12" s="188"/>
      <c r="BM12" s="188"/>
      <c r="BN12" s="188"/>
      <c r="BO12" s="188"/>
      <c r="BP12" s="188"/>
    </row>
    <row r="13" spans="2:68" x14ac:dyDescent="0.15">
      <c r="B13" s="141">
        <v>65497</v>
      </c>
      <c r="C13" s="141" t="s">
        <v>583</v>
      </c>
      <c r="D13" s="141" t="s">
        <v>573</v>
      </c>
      <c r="E13" s="141" t="s">
        <v>574</v>
      </c>
      <c r="F13" s="141" t="s">
        <v>584</v>
      </c>
      <c r="G13" s="141" t="s">
        <v>584</v>
      </c>
      <c r="H13" s="141">
        <v>127</v>
      </c>
      <c r="I13" s="172"/>
      <c r="J13" s="141" t="s">
        <v>83</v>
      </c>
      <c r="K13" s="173" t="s">
        <v>83</v>
      </c>
      <c r="L13" s="173" t="s">
        <v>83</v>
      </c>
      <c r="M13" s="173" t="s">
        <v>83</v>
      </c>
      <c r="N13" s="173" t="s">
        <v>83</v>
      </c>
      <c r="O13" s="173" t="s">
        <v>83</v>
      </c>
      <c r="P13" s="173" t="s">
        <v>83</v>
      </c>
      <c r="Q13" s="173" t="s">
        <v>83</v>
      </c>
      <c r="R13" s="173" t="s">
        <v>83</v>
      </c>
      <c r="S13" s="173" t="s">
        <v>83</v>
      </c>
      <c r="T13" s="173" t="s">
        <v>83</v>
      </c>
      <c r="U13" s="173" t="s">
        <v>83</v>
      </c>
      <c r="V13" s="173" t="s">
        <v>83</v>
      </c>
      <c r="W13" s="173" t="s">
        <v>83</v>
      </c>
      <c r="X13" s="173" t="s">
        <v>83</v>
      </c>
      <c r="Y13" s="173" t="s">
        <v>83</v>
      </c>
      <c r="Z13" s="173" t="s">
        <v>83</v>
      </c>
      <c r="AA13" s="173" t="s">
        <v>83</v>
      </c>
      <c r="AB13" s="173" t="s">
        <v>83</v>
      </c>
      <c r="AC13" s="173" t="s">
        <v>83</v>
      </c>
      <c r="AD13" s="173" t="s">
        <v>83</v>
      </c>
      <c r="AE13" s="173" t="s">
        <v>83</v>
      </c>
      <c r="AF13" s="173" t="s">
        <v>83</v>
      </c>
      <c r="AG13" s="173" t="s">
        <v>83</v>
      </c>
      <c r="AH13" s="173" t="s">
        <v>83</v>
      </c>
      <c r="AI13" s="173" t="s">
        <v>83</v>
      </c>
      <c r="AJ13" s="173" t="s">
        <v>83</v>
      </c>
      <c r="AK13" s="173" t="s">
        <v>83</v>
      </c>
      <c r="AL13" s="141"/>
      <c r="AM13" s="188"/>
      <c r="AN13" s="188"/>
      <c r="AO13" s="188"/>
      <c r="AP13" s="188"/>
      <c r="AQ13" s="188"/>
      <c r="AR13" s="188"/>
      <c r="AS13" s="188"/>
      <c r="AT13" s="188"/>
      <c r="AU13" s="188"/>
      <c r="AV13" s="188"/>
      <c r="AW13" s="188"/>
      <c r="AX13" s="188"/>
      <c r="AY13" s="188"/>
      <c r="AZ13" s="188"/>
      <c r="BA13" s="188"/>
      <c r="BB13" s="188"/>
      <c r="BC13" s="188"/>
      <c r="BD13" s="188"/>
      <c r="BE13" s="188"/>
      <c r="BF13" s="188"/>
      <c r="BG13" s="188"/>
      <c r="BH13" s="188"/>
      <c r="BI13" s="188"/>
      <c r="BJ13" s="188"/>
      <c r="BK13" s="188"/>
      <c r="BL13" s="188"/>
      <c r="BM13" s="188"/>
      <c r="BN13" s="188"/>
      <c r="BO13" s="188"/>
      <c r="BP13" s="188"/>
    </row>
    <row r="14" spans="2:68" x14ac:dyDescent="0.15">
      <c r="B14" s="170">
        <v>4771</v>
      </c>
      <c r="C14" s="170" t="s">
        <v>585</v>
      </c>
      <c r="D14" s="170" t="s">
        <v>573</v>
      </c>
      <c r="E14" s="170" t="s">
        <v>586</v>
      </c>
      <c r="F14" s="170" t="s">
        <v>587</v>
      </c>
      <c r="G14" s="170" t="s">
        <v>588</v>
      </c>
      <c r="H14" s="170">
        <v>38</v>
      </c>
      <c r="I14" s="169"/>
      <c r="J14" s="170"/>
      <c r="K14" s="171"/>
      <c r="L14" s="171"/>
      <c r="M14" s="171"/>
      <c r="N14" s="171"/>
      <c r="O14" s="171"/>
      <c r="P14" s="171"/>
      <c r="Q14" s="171"/>
      <c r="R14" s="171"/>
      <c r="S14" s="171"/>
      <c r="T14" s="171"/>
      <c r="U14" s="171"/>
      <c r="V14" s="171"/>
      <c r="W14" s="171"/>
      <c r="X14" s="171"/>
      <c r="Y14" s="171"/>
      <c r="Z14" s="171"/>
      <c r="AA14" s="171"/>
      <c r="AB14" s="171"/>
      <c r="AC14" s="171"/>
      <c r="AD14" s="171"/>
      <c r="AE14" s="171"/>
      <c r="AF14" s="171"/>
      <c r="AG14" s="171"/>
      <c r="AH14" s="171"/>
      <c r="AI14" s="171"/>
      <c r="AJ14" s="171"/>
      <c r="AK14" s="171"/>
      <c r="AL14" s="141"/>
      <c r="AM14" s="188"/>
      <c r="AN14" s="188"/>
      <c r="AO14" s="188"/>
      <c r="AP14" s="188"/>
      <c r="AQ14" s="188"/>
      <c r="AR14" s="188"/>
      <c r="AS14" s="188"/>
      <c r="AT14" s="188"/>
      <c r="AU14" s="188"/>
      <c r="AV14" s="188"/>
      <c r="AW14" s="188"/>
      <c r="AX14" s="188"/>
      <c r="AY14" s="188"/>
      <c r="AZ14" s="188"/>
      <c r="BA14" s="188"/>
      <c r="BB14" s="188"/>
      <c r="BC14" s="188"/>
      <c r="BD14" s="188"/>
      <c r="BE14" s="188"/>
      <c r="BF14" s="188"/>
      <c r="BG14" s="188"/>
      <c r="BH14" s="188"/>
      <c r="BI14" s="188"/>
      <c r="BJ14" s="188"/>
      <c r="BK14" s="188"/>
      <c r="BL14" s="188"/>
      <c r="BM14" s="188"/>
      <c r="BN14" s="188"/>
      <c r="BO14" s="188"/>
      <c r="BP14" s="188"/>
    </row>
    <row r="15" spans="2:68" x14ac:dyDescent="0.15">
      <c r="B15" s="141">
        <v>24345</v>
      </c>
      <c r="C15" s="141" t="s">
        <v>589</v>
      </c>
      <c r="D15" s="141" t="s">
        <v>573</v>
      </c>
      <c r="E15" s="141" t="s">
        <v>586</v>
      </c>
      <c r="F15" s="141" t="s">
        <v>478</v>
      </c>
      <c r="G15" s="141" t="s">
        <v>590</v>
      </c>
      <c r="H15" s="141">
        <v>64</v>
      </c>
      <c r="I15" s="172"/>
      <c r="J15" s="141" t="s">
        <v>83</v>
      </c>
      <c r="K15" s="173" t="s">
        <v>83</v>
      </c>
      <c r="L15" s="173" t="s">
        <v>83</v>
      </c>
      <c r="M15" s="173" t="s">
        <v>83</v>
      </c>
      <c r="N15" s="173" t="s">
        <v>83</v>
      </c>
      <c r="O15" s="173" t="s">
        <v>83</v>
      </c>
      <c r="P15" s="173" t="s">
        <v>83</v>
      </c>
      <c r="Q15" s="173" t="s">
        <v>83</v>
      </c>
      <c r="R15" s="173" t="s">
        <v>83</v>
      </c>
      <c r="S15" s="173" t="s">
        <v>83</v>
      </c>
      <c r="T15" s="173" t="s">
        <v>83</v>
      </c>
      <c r="U15" s="173" t="s">
        <v>83</v>
      </c>
      <c r="V15" s="173" t="s">
        <v>83</v>
      </c>
      <c r="W15" s="173" t="s">
        <v>83</v>
      </c>
      <c r="X15" s="173" t="s">
        <v>83</v>
      </c>
      <c r="Y15" s="173" t="s">
        <v>83</v>
      </c>
      <c r="Z15" s="173" t="s">
        <v>83</v>
      </c>
      <c r="AA15" s="173" t="s">
        <v>83</v>
      </c>
      <c r="AB15" s="173" t="s">
        <v>83</v>
      </c>
      <c r="AC15" s="173" t="s">
        <v>83</v>
      </c>
      <c r="AD15" s="173" t="s">
        <v>83</v>
      </c>
      <c r="AE15" s="173" t="s">
        <v>83</v>
      </c>
      <c r="AF15" s="173" t="s">
        <v>83</v>
      </c>
      <c r="AG15" s="173" t="s">
        <v>83</v>
      </c>
      <c r="AH15" s="173" t="s">
        <v>83</v>
      </c>
      <c r="AI15" s="173" t="s">
        <v>83</v>
      </c>
      <c r="AJ15" s="173" t="s">
        <v>83</v>
      </c>
      <c r="AK15" s="173" t="s">
        <v>83</v>
      </c>
      <c r="AL15" s="141"/>
      <c r="AM15" s="188"/>
      <c r="AN15" s="188"/>
      <c r="AO15" s="188"/>
      <c r="AP15" s="188"/>
      <c r="AQ15" s="188"/>
      <c r="AR15" s="188"/>
      <c r="AS15" s="188"/>
      <c r="AT15" s="188"/>
      <c r="AU15" s="188"/>
      <c r="AV15" s="188"/>
      <c r="AW15" s="188"/>
      <c r="AX15" s="188"/>
      <c r="AY15" s="188"/>
      <c r="AZ15" s="188"/>
      <c r="BA15" s="188"/>
      <c r="BB15" s="188"/>
      <c r="BC15" s="188"/>
      <c r="BD15" s="188"/>
      <c r="BE15" s="188"/>
      <c r="BF15" s="188"/>
      <c r="BG15" s="188"/>
      <c r="BH15" s="188"/>
      <c r="BI15" s="188"/>
      <c r="BJ15" s="188"/>
      <c r="BK15" s="188"/>
      <c r="BL15" s="188"/>
      <c r="BM15" s="188"/>
      <c r="BN15" s="188"/>
      <c r="BO15" s="188"/>
      <c r="BP15" s="188"/>
    </row>
    <row r="16" spans="2:68" x14ac:dyDescent="0.15">
      <c r="B16" s="170">
        <v>1973</v>
      </c>
      <c r="C16" s="170" t="s">
        <v>591</v>
      </c>
      <c r="D16" s="170" t="s">
        <v>573</v>
      </c>
      <c r="E16" s="170" t="s">
        <v>586</v>
      </c>
      <c r="F16" s="170" t="s">
        <v>592</v>
      </c>
      <c r="G16" s="170" t="s">
        <v>287</v>
      </c>
      <c r="H16" s="170">
        <v>0</v>
      </c>
      <c r="I16" s="169"/>
      <c r="J16" s="170"/>
      <c r="K16" s="171"/>
      <c r="L16" s="171"/>
      <c r="M16" s="171"/>
      <c r="N16" s="171"/>
      <c r="O16" s="171"/>
      <c r="P16" s="171"/>
      <c r="Q16" s="171"/>
      <c r="R16" s="171"/>
      <c r="S16" s="171"/>
      <c r="T16" s="171"/>
      <c r="U16" s="171"/>
      <c r="V16" s="171"/>
      <c r="W16" s="171"/>
      <c r="X16" s="171"/>
      <c r="Y16" s="171"/>
      <c r="Z16" s="171"/>
      <c r="AA16" s="171"/>
      <c r="AB16" s="171"/>
      <c r="AC16" s="171"/>
      <c r="AD16" s="171"/>
      <c r="AE16" s="171"/>
      <c r="AF16" s="171"/>
      <c r="AG16" s="171"/>
      <c r="AH16" s="171"/>
      <c r="AI16" s="171"/>
      <c r="AJ16" s="171"/>
      <c r="AK16" s="171"/>
      <c r="AL16" s="141"/>
      <c r="AM16" s="188"/>
      <c r="AN16" s="188"/>
      <c r="AO16" s="188"/>
      <c r="AP16" s="188"/>
      <c r="AQ16" s="188"/>
      <c r="AR16" s="188"/>
      <c r="AS16" s="188"/>
      <c r="AT16" s="188"/>
      <c r="AU16" s="188"/>
      <c r="AV16" s="188"/>
      <c r="AW16" s="188"/>
      <c r="AX16" s="188"/>
      <c r="AY16" s="188"/>
      <c r="AZ16" s="188"/>
      <c r="BA16" s="188"/>
      <c r="BB16" s="188"/>
      <c r="BC16" s="188"/>
      <c r="BD16" s="188"/>
      <c r="BE16" s="188"/>
      <c r="BF16" s="188"/>
      <c r="BG16" s="188"/>
      <c r="BH16" s="188"/>
      <c r="BI16" s="188"/>
      <c r="BJ16" s="188"/>
      <c r="BK16" s="188"/>
      <c r="BL16" s="188"/>
      <c r="BM16" s="188"/>
      <c r="BN16" s="188"/>
      <c r="BO16" s="188"/>
      <c r="BP16" s="188"/>
    </row>
    <row r="17" spans="2:68" x14ac:dyDescent="0.15">
      <c r="B17" s="141">
        <v>29330</v>
      </c>
      <c r="C17" s="141" t="s">
        <v>593</v>
      </c>
      <c r="D17" s="141" t="s">
        <v>573</v>
      </c>
      <c r="E17" s="141" t="s">
        <v>586</v>
      </c>
      <c r="F17" s="141" t="s">
        <v>594</v>
      </c>
      <c r="G17" s="141" t="s">
        <v>595</v>
      </c>
      <c r="H17" s="141">
        <v>0</v>
      </c>
      <c r="I17" s="172"/>
      <c r="J17" s="141"/>
      <c r="K17" s="173"/>
      <c r="L17" s="173"/>
      <c r="M17" s="173"/>
      <c r="N17" s="173"/>
      <c r="O17" s="173"/>
      <c r="P17" s="173"/>
      <c r="Q17" s="173"/>
      <c r="R17" s="173"/>
      <c r="S17" s="173"/>
      <c r="T17" s="173"/>
      <c r="U17" s="173"/>
      <c r="V17" s="173"/>
      <c r="W17" s="173"/>
      <c r="X17" s="173"/>
      <c r="Y17" s="173"/>
      <c r="Z17" s="173"/>
      <c r="AA17" s="173"/>
      <c r="AB17" s="173"/>
      <c r="AC17" s="173"/>
      <c r="AD17" s="173"/>
      <c r="AE17" s="173"/>
      <c r="AF17" s="173"/>
      <c r="AG17" s="173"/>
      <c r="AH17" s="173"/>
      <c r="AI17" s="173"/>
      <c r="AJ17" s="173"/>
      <c r="AK17" s="173"/>
      <c r="AL17" s="141"/>
      <c r="AM17" s="188"/>
      <c r="AN17" s="188"/>
      <c r="AO17" s="188"/>
      <c r="AP17" s="188"/>
      <c r="AQ17" s="188"/>
      <c r="AR17" s="188"/>
      <c r="AS17" s="188"/>
      <c r="AT17" s="188"/>
      <c r="AU17" s="188"/>
      <c r="AV17" s="188"/>
      <c r="AW17" s="188"/>
      <c r="AX17" s="188"/>
      <c r="AY17" s="188"/>
      <c r="AZ17" s="188"/>
      <c r="BA17" s="188"/>
      <c r="BB17" s="188"/>
      <c r="BC17" s="188"/>
      <c r="BD17" s="188"/>
      <c r="BE17" s="188"/>
      <c r="BF17" s="188"/>
      <c r="BG17" s="188"/>
      <c r="BH17" s="188"/>
      <c r="BI17" s="188"/>
      <c r="BJ17" s="188"/>
      <c r="BK17" s="188"/>
      <c r="BL17" s="188"/>
      <c r="BM17" s="188"/>
      <c r="BN17" s="188"/>
      <c r="BO17" s="188"/>
      <c r="BP17" s="188"/>
    </row>
    <row r="18" spans="2:68" x14ac:dyDescent="0.15">
      <c r="B18" s="170">
        <v>41735</v>
      </c>
      <c r="C18" s="170" t="s">
        <v>596</v>
      </c>
      <c r="D18" s="170" t="s">
        <v>573</v>
      </c>
      <c r="E18" s="170" t="s">
        <v>586</v>
      </c>
      <c r="F18" s="170" t="s">
        <v>203</v>
      </c>
      <c r="G18" s="170" t="s">
        <v>597</v>
      </c>
      <c r="H18" s="170">
        <v>0</v>
      </c>
      <c r="I18" s="169"/>
      <c r="J18" s="170"/>
      <c r="K18" s="171"/>
      <c r="L18" s="171"/>
      <c r="M18" s="171"/>
      <c r="N18" s="171"/>
      <c r="O18" s="171"/>
      <c r="P18" s="171"/>
      <c r="Q18" s="171"/>
      <c r="R18" s="171"/>
      <c r="S18" s="171"/>
      <c r="T18" s="171"/>
      <c r="U18" s="171"/>
      <c r="V18" s="171"/>
      <c r="W18" s="171"/>
      <c r="X18" s="171"/>
      <c r="Y18" s="171"/>
      <c r="Z18" s="171"/>
      <c r="AA18" s="171"/>
      <c r="AB18" s="171"/>
      <c r="AC18" s="171"/>
      <c r="AD18" s="171"/>
      <c r="AE18" s="171"/>
      <c r="AF18" s="171"/>
      <c r="AG18" s="171"/>
      <c r="AH18" s="171"/>
      <c r="AI18" s="171"/>
      <c r="AJ18" s="171"/>
      <c r="AK18" s="171"/>
      <c r="AL18" s="141"/>
      <c r="AM18" s="188"/>
      <c r="AN18" s="188"/>
      <c r="AO18" s="188"/>
      <c r="AP18" s="188"/>
      <c r="AQ18" s="188"/>
      <c r="AR18" s="188"/>
      <c r="AS18" s="188"/>
      <c r="AT18" s="188"/>
      <c r="AU18" s="188"/>
      <c r="AV18" s="188"/>
      <c r="AW18" s="188"/>
      <c r="AX18" s="188"/>
      <c r="AY18" s="188"/>
      <c r="AZ18" s="188"/>
      <c r="BA18" s="188"/>
      <c r="BB18" s="188"/>
      <c r="BC18" s="188"/>
      <c r="BD18" s="188"/>
      <c r="BE18" s="188"/>
      <c r="BF18" s="188"/>
      <c r="BG18" s="188"/>
      <c r="BH18" s="188"/>
      <c r="BI18" s="188"/>
      <c r="BJ18" s="188"/>
      <c r="BK18" s="188"/>
      <c r="BL18" s="188"/>
      <c r="BM18" s="188"/>
      <c r="BN18" s="188"/>
      <c r="BO18" s="188"/>
      <c r="BP18" s="188"/>
    </row>
    <row r="19" spans="2:68" x14ac:dyDescent="0.15">
      <c r="B19" s="141">
        <v>28198</v>
      </c>
      <c r="C19" s="141" t="s">
        <v>598</v>
      </c>
      <c r="D19" s="141" t="s">
        <v>573</v>
      </c>
      <c r="E19" s="141" t="s">
        <v>586</v>
      </c>
      <c r="F19" s="141" t="s">
        <v>599</v>
      </c>
      <c r="G19" s="141" t="s">
        <v>599</v>
      </c>
      <c r="H19" s="141">
        <v>437</v>
      </c>
      <c r="I19" s="172"/>
      <c r="J19" s="141" t="s">
        <v>83</v>
      </c>
      <c r="K19" s="173" t="s">
        <v>83</v>
      </c>
      <c r="L19" s="173" t="s">
        <v>83</v>
      </c>
      <c r="M19" s="173" t="s">
        <v>83</v>
      </c>
      <c r="N19" s="173" t="s">
        <v>83</v>
      </c>
      <c r="O19" s="173" t="s">
        <v>83</v>
      </c>
      <c r="P19" s="173" t="s">
        <v>83</v>
      </c>
      <c r="Q19" s="173" t="s">
        <v>83</v>
      </c>
      <c r="R19" s="173" t="s">
        <v>83</v>
      </c>
      <c r="S19" s="173" t="s">
        <v>83</v>
      </c>
      <c r="T19" s="173" t="s">
        <v>83</v>
      </c>
      <c r="U19" s="173" t="s">
        <v>83</v>
      </c>
      <c r="V19" s="173" t="s">
        <v>83</v>
      </c>
      <c r="W19" s="173" t="s">
        <v>83</v>
      </c>
      <c r="X19" s="173" t="s">
        <v>83</v>
      </c>
      <c r="Y19" s="173" t="s">
        <v>83</v>
      </c>
      <c r="Z19" s="173" t="s">
        <v>83</v>
      </c>
      <c r="AA19" s="173" t="s">
        <v>83</v>
      </c>
      <c r="AB19" s="173" t="s">
        <v>83</v>
      </c>
      <c r="AC19" s="173" t="s">
        <v>83</v>
      </c>
      <c r="AD19" s="173" t="s">
        <v>83</v>
      </c>
      <c r="AE19" s="173" t="s">
        <v>83</v>
      </c>
      <c r="AF19" s="173" t="s">
        <v>83</v>
      </c>
      <c r="AG19" s="173" t="s">
        <v>83</v>
      </c>
      <c r="AH19" s="173" t="s">
        <v>83</v>
      </c>
      <c r="AI19" s="173" t="s">
        <v>83</v>
      </c>
      <c r="AJ19" s="173" t="s">
        <v>83</v>
      </c>
      <c r="AK19" s="173" t="s">
        <v>83</v>
      </c>
      <c r="AL19" s="141"/>
      <c r="AM19" s="188"/>
      <c r="AN19" s="188"/>
      <c r="AO19" s="188"/>
      <c r="AP19" s="188"/>
      <c r="AQ19" s="188"/>
      <c r="AR19" s="188"/>
      <c r="AS19" s="188"/>
      <c r="AT19" s="188"/>
      <c r="AU19" s="188"/>
      <c r="AV19" s="188"/>
      <c r="AW19" s="188"/>
      <c r="AX19" s="188"/>
      <c r="AY19" s="188"/>
      <c r="AZ19" s="188"/>
      <c r="BA19" s="188"/>
      <c r="BB19" s="188"/>
      <c r="BC19" s="188"/>
      <c r="BD19" s="188"/>
      <c r="BE19" s="188"/>
      <c r="BF19" s="188"/>
      <c r="BG19" s="188"/>
      <c r="BH19" s="188"/>
      <c r="BI19" s="188"/>
      <c r="BJ19" s="188"/>
      <c r="BK19" s="188"/>
      <c r="BL19" s="188"/>
      <c r="BM19" s="188"/>
      <c r="BN19" s="188"/>
      <c r="BO19" s="188"/>
      <c r="BP19" s="188"/>
    </row>
    <row r="20" spans="2:68" x14ac:dyDescent="0.15">
      <c r="B20" s="170">
        <v>19565</v>
      </c>
      <c r="C20" s="170" t="s">
        <v>600</v>
      </c>
      <c r="D20" s="170" t="s">
        <v>573</v>
      </c>
      <c r="E20" s="170" t="s">
        <v>586</v>
      </c>
      <c r="F20" s="170" t="s">
        <v>601</v>
      </c>
      <c r="G20" s="170" t="s">
        <v>602</v>
      </c>
      <c r="H20" s="170">
        <v>50</v>
      </c>
      <c r="I20" s="169"/>
      <c r="J20" s="170"/>
      <c r="K20" s="171"/>
      <c r="L20" s="171"/>
      <c r="M20" s="171"/>
      <c r="N20" s="171"/>
      <c r="O20" s="171"/>
      <c r="P20" s="171"/>
      <c r="Q20" s="171"/>
      <c r="R20" s="171"/>
      <c r="S20" s="171"/>
      <c r="T20" s="171"/>
      <c r="U20" s="171"/>
      <c r="V20" s="171"/>
      <c r="W20" s="171"/>
      <c r="X20" s="171"/>
      <c r="Y20" s="171"/>
      <c r="Z20" s="171"/>
      <c r="AA20" s="171"/>
      <c r="AB20" s="171"/>
      <c r="AC20" s="171"/>
      <c r="AD20" s="171"/>
      <c r="AE20" s="171"/>
      <c r="AF20" s="171"/>
      <c r="AG20" s="171"/>
      <c r="AH20" s="171"/>
      <c r="AI20" s="171"/>
      <c r="AJ20" s="171"/>
      <c r="AK20" s="171"/>
      <c r="AL20" s="141"/>
      <c r="AM20" s="188"/>
      <c r="AN20" s="188"/>
      <c r="AO20" s="188"/>
      <c r="AP20" s="188"/>
      <c r="AQ20" s="188"/>
      <c r="AR20" s="188"/>
      <c r="AS20" s="188"/>
      <c r="AT20" s="188"/>
      <c r="AU20" s="188"/>
      <c r="AV20" s="188"/>
      <c r="AW20" s="188"/>
      <c r="AX20" s="188"/>
      <c r="AY20" s="188"/>
      <c r="AZ20" s="188"/>
      <c r="BA20" s="188"/>
      <c r="BB20" s="188"/>
      <c r="BC20" s="188"/>
      <c r="BD20" s="188"/>
      <c r="BE20" s="188"/>
      <c r="BF20" s="188"/>
      <c r="BG20" s="188"/>
      <c r="BH20" s="188"/>
      <c r="BI20" s="188"/>
      <c r="BJ20" s="188"/>
      <c r="BK20" s="188"/>
      <c r="BL20" s="188"/>
      <c r="BM20" s="188"/>
      <c r="BN20" s="188"/>
      <c r="BO20" s="188"/>
      <c r="BP20" s="188"/>
    </row>
    <row r="21" spans="2:68" x14ac:dyDescent="0.15">
      <c r="B21" s="141">
        <v>17437</v>
      </c>
      <c r="C21" s="141" t="s">
        <v>603</v>
      </c>
      <c r="D21" s="141" t="s">
        <v>573</v>
      </c>
      <c r="E21" s="141" t="s">
        <v>586</v>
      </c>
      <c r="F21" s="141" t="s">
        <v>287</v>
      </c>
      <c r="G21" s="141" t="s">
        <v>287</v>
      </c>
      <c r="H21" s="141">
        <v>66</v>
      </c>
      <c r="I21" s="172"/>
      <c r="J21" s="141"/>
      <c r="K21" s="173"/>
      <c r="L21" s="173"/>
      <c r="M21" s="173"/>
      <c r="N21" s="173"/>
      <c r="O21" s="173"/>
      <c r="P21" s="173"/>
      <c r="Q21" s="173"/>
      <c r="R21" s="173"/>
      <c r="S21" s="173"/>
      <c r="T21" s="173"/>
      <c r="U21" s="173"/>
      <c r="V21" s="173"/>
      <c r="W21" s="173"/>
      <c r="X21" s="173"/>
      <c r="Y21" s="173"/>
      <c r="Z21" s="173"/>
      <c r="AA21" s="173"/>
      <c r="AB21" s="173"/>
      <c r="AC21" s="173"/>
      <c r="AD21" s="173"/>
      <c r="AE21" s="173"/>
      <c r="AF21" s="173"/>
      <c r="AG21" s="173"/>
      <c r="AH21" s="173"/>
      <c r="AI21" s="173"/>
      <c r="AJ21" s="173"/>
      <c r="AK21" s="173"/>
      <c r="AL21" s="141"/>
      <c r="AM21" s="188"/>
      <c r="AN21" s="188"/>
      <c r="AO21" s="188"/>
      <c r="AP21" s="188"/>
      <c r="AQ21" s="188"/>
      <c r="AR21" s="188"/>
      <c r="AS21" s="188"/>
      <c r="AT21" s="188"/>
      <c r="AU21" s="188"/>
      <c r="AV21" s="188"/>
      <c r="AW21" s="188"/>
      <c r="AX21" s="188"/>
      <c r="AY21" s="188"/>
      <c r="AZ21" s="188"/>
      <c r="BA21" s="188"/>
      <c r="BB21" s="188"/>
      <c r="BC21" s="188"/>
      <c r="BD21" s="188"/>
      <c r="BE21" s="188"/>
      <c r="BF21" s="188"/>
      <c r="BG21" s="188"/>
      <c r="BH21" s="188"/>
      <c r="BI21" s="188"/>
      <c r="BJ21" s="188"/>
      <c r="BK21" s="188"/>
      <c r="BL21" s="188"/>
      <c r="BM21" s="188"/>
      <c r="BN21" s="188"/>
      <c r="BO21" s="188"/>
      <c r="BP21" s="188"/>
    </row>
    <row r="22" spans="2:68" x14ac:dyDescent="0.15">
      <c r="B22" s="170">
        <v>42639</v>
      </c>
      <c r="C22" s="170" t="s">
        <v>604</v>
      </c>
      <c r="D22" s="170" t="s">
        <v>573</v>
      </c>
      <c r="E22" s="170" t="s">
        <v>586</v>
      </c>
      <c r="F22" s="170" t="s">
        <v>131</v>
      </c>
      <c r="G22" s="170" t="s">
        <v>336</v>
      </c>
      <c r="H22" s="170">
        <v>519</v>
      </c>
      <c r="I22" s="169" t="s">
        <v>87</v>
      </c>
      <c r="J22" s="170" t="s">
        <v>83</v>
      </c>
      <c r="K22" s="171" t="s">
        <v>83</v>
      </c>
      <c r="L22" s="171" t="s">
        <v>83</v>
      </c>
      <c r="M22" s="171" t="s">
        <v>83</v>
      </c>
      <c r="N22" s="171" t="s">
        <v>83</v>
      </c>
      <c r="O22" s="171" t="s">
        <v>83</v>
      </c>
      <c r="P22" s="171" t="s">
        <v>83</v>
      </c>
      <c r="Q22" s="171" t="s">
        <v>83</v>
      </c>
      <c r="R22" s="171" t="s">
        <v>83</v>
      </c>
      <c r="S22" s="171" t="s">
        <v>83</v>
      </c>
      <c r="T22" s="171" t="s">
        <v>83</v>
      </c>
      <c r="U22" s="171" t="s">
        <v>83</v>
      </c>
      <c r="V22" s="171" t="s">
        <v>83</v>
      </c>
      <c r="W22" s="171" t="s">
        <v>83</v>
      </c>
      <c r="X22" s="171" t="s">
        <v>83</v>
      </c>
      <c r="Y22" s="171" t="s">
        <v>83</v>
      </c>
      <c r="Z22" s="171" t="s">
        <v>83</v>
      </c>
      <c r="AA22" s="171" t="s">
        <v>83</v>
      </c>
      <c r="AB22" s="171" t="s">
        <v>83</v>
      </c>
      <c r="AC22" s="171" t="s">
        <v>83</v>
      </c>
      <c r="AD22" s="171" t="s">
        <v>83</v>
      </c>
      <c r="AE22" s="171" t="s">
        <v>83</v>
      </c>
      <c r="AF22" s="171" t="s">
        <v>83</v>
      </c>
      <c r="AG22" s="171" t="s">
        <v>83</v>
      </c>
      <c r="AH22" s="171" t="s">
        <v>83</v>
      </c>
      <c r="AI22" s="171" t="s">
        <v>83</v>
      </c>
      <c r="AJ22" s="171" t="s">
        <v>83</v>
      </c>
      <c r="AK22" s="171" t="s">
        <v>83</v>
      </c>
      <c r="AL22" s="141"/>
      <c r="AM22" s="188"/>
      <c r="AN22" s="188"/>
      <c r="AO22" s="188"/>
      <c r="AP22" s="188"/>
      <c r="AQ22" s="188"/>
      <c r="AR22" s="188"/>
      <c r="AS22" s="188"/>
      <c r="AT22" s="188"/>
      <c r="AU22" s="188"/>
      <c r="AV22" s="188"/>
      <c r="AW22" s="188"/>
      <c r="AX22" s="188"/>
      <c r="AY22" s="188"/>
      <c r="AZ22" s="188"/>
      <c r="BA22" s="188"/>
      <c r="BB22" s="188"/>
      <c r="BC22" s="188"/>
      <c r="BD22" s="188"/>
      <c r="BE22" s="188"/>
      <c r="BF22" s="188"/>
      <c r="BG22" s="188"/>
      <c r="BH22" s="188"/>
      <c r="BI22" s="188"/>
      <c r="BJ22" s="188"/>
      <c r="BK22" s="188"/>
      <c r="BL22" s="188"/>
      <c r="BM22" s="188"/>
      <c r="BN22" s="188"/>
      <c r="BO22" s="188"/>
      <c r="BP22" s="188"/>
    </row>
    <row r="23" spans="2:68" x14ac:dyDescent="0.15">
      <c r="B23" s="141">
        <v>57194</v>
      </c>
      <c r="C23" s="141" t="s">
        <v>605</v>
      </c>
      <c r="D23" s="141" t="s">
        <v>573</v>
      </c>
      <c r="E23" s="141" t="s">
        <v>586</v>
      </c>
      <c r="F23" s="141" t="s">
        <v>606</v>
      </c>
      <c r="G23" s="141" t="s">
        <v>607</v>
      </c>
      <c r="H23" s="141">
        <v>157</v>
      </c>
      <c r="I23" s="172"/>
      <c r="J23" s="141" t="s">
        <v>83</v>
      </c>
      <c r="K23" s="173" t="s">
        <v>83</v>
      </c>
      <c r="L23" s="173" t="s">
        <v>83</v>
      </c>
      <c r="M23" s="173" t="s">
        <v>83</v>
      </c>
      <c r="N23" s="173" t="s">
        <v>83</v>
      </c>
      <c r="O23" s="173" t="s">
        <v>83</v>
      </c>
      <c r="P23" s="173" t="s">
        <v>83</v>
      </c>
      <c r="Q23" s="173" t="s">
        <v>83</v>
      </c>
      <c r="R23" s="173" t="s">
        <v>83</v>
      </c>
      <c r="S23" s="173" t="s">
        <v>83</v>
      </c>
      <c r="T23" s="173" t="s">
        <v>83</v>
      </c>
      <c r="U23" s="173" t="s">
        <v>83</v>
      </c>
      <c r="V23" s="173" t="s">
        <v>83</v>
      </c>
      <c r="W23" s="173" t="s">
        <v>83</v>
      </c>
      <c r="X23" s="173" t="s">
        <v>83</v>
      </c>
      <c r="Y23" s="173" t="s">
        <v>83</v>
      </c>
      <c r="Z23" s="173" t="s">
        <v>83</v>
      </c>
      <c r="AA23" s="173" t="s">
        <v>83</v>
      </c>
      <c r="AB23" s="173" t="s">
        <v>83</v>
      </c>
      <c r="AC23" s="173" t="s">
        <v>83</v>
      </c>
      <c r="AD23" s="173" t="s">
        <v>83</v>
      </c>
      <c r="AE23" s="173" t="s">
        <v>83</v>
      </c>
      <c r="AF23" s="173" t="s">
        <v>83</v>
      </c>
      <c r="AG23" s="173" t="s">
        <v>83</v>
      </c>
      <c r="AH23" s="173" t="s">
        <v>83</v>
      </c>
      <c r="AI23" s="173" t="s">
        <v>83</v>
      </c>
      <c r="AJ23" s="173" t="s">
        <v>83</v>
      </c>
      <c r="AK23" s="173" t="s">
        <v>83</v>
      </c>
      <c r="AL23" s="141"/>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row>
    <row r="24" spans="2:68" x14ac:dyDescent="0.15">
      <c r="B24" s="170">
        <v>64033</v>
      </c>
      <c r="C24" s="170" t="s">
        <v>608</v>
      </c>
      <c r="D24" s="170" t="s">
        <v>573</v>
      </c>
      <c r="E24" s="170" t="s">
        <v>586</v>
      </c>
      <c r="F24" s="170" t="s">
        <v>609</v>
      </c>
      <c r="G24" s="170" t="s">
        <v>609</v>
      </c>
      <c r="H24" s="170">
        <v>250</v>
      </c>
      <c r="I24" s="169"/>
      <c r="J24" s="170" t="s">
        <v>83</v>
      </c>
      <c r="K24" s="171" t="s">
        <v>83</v>
      </c>
      <c r="L24" s="171" t="s">
        <v>83</v>
      </c>
      <c r="M24" s="171" t="s">
        <v>83</v>
      </c>
      <c r="N24" s="171" t="s">
        <v>83</v>
      </c>
      <c r="O24" s="171" t="s">
        <v>83</v>
      </c>
      <c r="P24" s="171" t="s">
        <v>83</v>
      </c>
      <c r="Q24" s="171" t="s">
        <v>83</v>
      </c>
      <c r="R24" s="171" t="s">
        <v>83</v>
      </c>
      <c r="S24" s="171" t="s">
        <v>83</v>
      </c>
      <c r="T24" s="171" t="s">
        <v>83</v>
      </c>
      <c r="U24" s="171" t="s">
        <v>83</v>
      </c>
      <c r="V24" s="171" t="s">
        <v>83</v>
      </c>
      <c r="W24" s="171" t="s">
        <v>83</v>
      </c>
      <c r="X24" s="171" t="s">
        <v>83</v>
      </c>
      <c r="Y24" s="171" t="s">
        <v>83</v>
      </c>
      <c r="Z24" s="171" t="s">
        <v>83</v>
      </c>
      <c r="AA24" s="171" t="s">
        <v>83</v>
      </c>
      <c r="AB24" s="171" t="s">
        <v>83</v>
      </c>
      <c r="AC24" s="171" t="s">
        <v>83</v>
      </c>
      <c r="AD24" s="171" t="s">
        <v>83</v>
      </c>
      <c r="AE24" s="171" t="s">
        <v>83</v>
      </c>
      <c r="AF24" s="171" t="s">
        <v>83</v>
      </c>
      <c r="AG24" s="171" t="s">
        <v>83</v>
      </c>
      <c r="AH24" s="171" t="s">
        <v>83</v>
      </c>
      <c r="AI24" s="171" t="s">
        <v>83</v>
      </c>
      <c r="AJ24" s="171" t="s">
        <v>83</v>
      </c>
      <c r="AK24" s="171" t="s">
        <v>83</v>
      </c>
      <c r="AL24" s="141"/>
      <c r="AM24" s="188"/>
      <c r="AN24" s="188"/>
      <c r="AO24" s="188"/>
      <c r="AP24" s="188"/>
      <c r="AQ24" s="188"/>
      <c r="AR24" s="188"/>
      <c r="AS24" s="188"/>
      <c r="AT24" s="188"/>
      <c r="AU24" s="188"/>
      <c r="AV24" s="188"/>
      <c r="AW24" s="188"/>
      <c r="AX24" s="188"/>
      <c r="AY24" s="188"/>
      <c r="AZ24" s="188"/>
      <c r="BA24" s="188"/>
      <c r="BB24" s="188"/>
      <c r="BC24" s="188"/>
      <c r="BD24" s="188"/>
      <c r="BE24" s="188"/>
      <c r="BF24" s="188"/>
      <c r="BG24" s="188"/>
      <c r="BH24" s="188"/>
      <c r="BI24" s="188"/>
      <c r="BJ24" s="188"/>
      <c r="BK24" s="188"/>
      <c r="BL24" s="188"/>
      <c r="BM24" s="188"/>
      <c r="BN24" s="188"/>
      <c r="BO24" s="188"/>
      <c r="BP24" s="188"/>
    </row>
    <row r="25" spans="2:68" x14ac:dyDescent="0.15">
      <c r="B25" s="141">
        <v>44799</v>
      </c>
      <c r="C25" s="141" t="s">
        <v>610</v>
      </c>
      <c r="D25" s="141" t="s">
        <v>573</v>
      </c>
      <c r="E25" s="141" t="s">
        <v>586</v>
      </c>
      <c r="F25" s="141" t="s">
        <v>611</v>
      </c>
      <c r="G25" s="141" t="s">
        <v>240</v>
      </c>
      <c r="H25" s="141">
        <v>34</v>
      </c>
      <c r="I25" s="172"/>
      <c r="J25" s="141"/>
      <c r="K25" s="173"/>
      <c r="L25" s="173"/>
      <c r="M25" s="173"/>
      <c r="N25" s="173"/>
      <c r="O25" s="173"/>
      <c r="P25" s="173"/>
      <c r="Q25" s="173"/>
      <c r="R25" s="173"/>
      <c r="S25" s="173"/>
      <c r="T25" s="173"/>
      <c r="U25" s="173"/>
      <c r="V25" s="173"/>
      <c r="W25" s="173"/>
      <c r="X25" s="173"/>
      <c r="Y25" s="173"/>
      <c r="Z25" s="173"/>
      <c r="AA25" s="173"/>
      <c r="AB25" s="173"/>
      <c r="AC25" s="173"/>
      <c r="AD25" s="173"/>
      <c r="AE25" s="173"/>
      <c r="AF25" s="173"/>
      <c r="AG25" s="173"/>
      <c r="AH25" s="173"/>
      <c r="AI25" s="173"/>
      <c r="AJ25" s="173"/>
      <c r="AK25" s="173"/>
      <c r="AL25" s="141"/>
      <c r="AM25" s="188"/>
      <c r="AN25" s="188"/>
      <c r="AO25" s="188"/>
      <c r="AP25" s="188"/>
      <c r="AQ25" s="188"/>
      <c r="AR25" s="188"/>
      <c r="AS25" s="188"/>
      <c r="AT25" s="188"/>
      <c r="AU25" s="188"/>
      <c r="AV25" s="188"/>
      <c r="AW25" s="188"/>
      <c r="AX25" s="188"/>
      <c r="AY25" s="188"/>
      <c r="AZ25" s="188"/>
      <c r="BA25" s="188"/>
      <c r="BB25" s="188"/>
      <c r="BC25" s="188"/>
      <c r="BD25" s="188"/>
      <c r="BE25" s="188"/>
      <c r="BF25" s="188"/>
      <c r="BG25" s="188"/>
      <c r="BH25" s="188"/>
      <c r="BI25" s="188"/>
      <c r="BJ25" s="188"/>
      <c r="BK25" s="188"/>
      <c r="BL25" s="188"/>
      <c r="BM25" s="188"/>
      <c r="BN25" s="188"/>
      <c r="BO25" s="188"/>
      <c r="BP25" s="188"/>
    </row>
    <row r="26" spans="2:68" x14ac:dyDescent="0.15">
      <c r="B26" s="170">
        <v>30005</v>
      </c>
      <c r="C26" s="170" t="s">
        <v>612</v>
      </c>
      <c r="D26" s="170" t="s">
        <v>573</v>
      </c>
      <c r="E26" s="170" t="s">
        <v>613</v>
      </c>
      <c r="F26" s="170" t="s">
        <v>614</v>
      </c>
      <c r="G26" s="170" t="s">
        <v>97</v>
      </c>
      <c r="H26" s="170">
        <v>42</v>
      </c>
      <c r="I26" s="169"/>
      <c r="J26" s="170"/>
      <c r="K26" s="171"/>
      <c r="L26" s="171"/>
      <c r="M26" s="171"/>
      <c r="N26" s="171"/>
      <c r="O26" s="171"/>
      <c r="P26" s="171"/>
      <c r="Q26" s="171"/>
      <c r="R26" s="171"/>
      <c r="S26" s="171"/>
      <c r="T26" s="171"/>
      <c r="U26" s="171"/>
      <c r="V26" s="171"/>
      <c r="W26" s="171"/>
      <c r="X26" s="171"/>
      <c r="Y26" s="171"/>
      <c r="Z26" s="171"/>
      <c r="AA26" s="171"/>
      <c r="AB26" s="171"/>
      <c r="AC26" s="171"/>
      <c r="AD26" s="171"/>
      <c r="AE26" s="171"/>
      <c r="AF26" s="171"/>
      <c r="AG26" s="171"/>
      <c r="AH26" s="171"/>
      <c r="AI26" s="171"/>
      <c r="AJ26" s="171"/>
      <c r="AK26" s="171"/>
      <c r="AL26" s="141"/>
      <c r="AM26" s="188"/>
      <c r="AN26" s="188"/>
      <c r="AO26" s="188"/>
      <c r="AP26" s="188"/>
      <c r="AQ26" s="188"/>
      <c r="AR26" s="188"/>
      <c r="AS26" s="188"/>
      <c r="AT26" s="188"/>
      <c r="AU26" s="188"/>
      <c r="AV26" s="188"/>
      <c r="AW26" s="188"/>
      <c r="AX26" s="188"/>
      <c r="AY26" s="188"/>
      <c r="AZ26" s="188"/>
      <c r="BA26" s="188"/>
      <c r="BB26" s="188"/>
      <c r="BC26" s="188"/>
      <c r="BD26" s="188"/>
      <c r="BE26" s="188"/>
      <c r="BF26" s="188"/>
      <c r="BG26" s="188"/>
      <c r="BH26" s="188"/>
      <c r="BI26" s="188"/>
      <c r="BJ26" s="188"/>
      <c r="BK26" s="188"/>
      <c r="BL26" s="188"/>
      <c r="BM26" s="188"/>
      <c r="BN26" s="188"/>
      <c r="BO26" s="188"/>
      <c r="BP26" s="188"/>
    </row>
    <row r="27" spans="2:68" x14ac:dyDescent="0.15">
      <c r="B27" s="141">
        <v>82447</v>
      </c>
      <c r="C27" s="141" t="s">
        <v>615</v>
      </c>
      <c r="D27" s="141" t="s">
        <v>573</v>
      </c>
      <c r="E27" s="141" t="s">
        <v>613</v>
      </c>
      <c r="F27" s="141" t="s">
        <v>616</v>
      </c>
      <c r="G27" s="141" t="s">
        <v>616</v>
      </c>
      <c r="H27" s="141">
        <v>11</v>
      </c>
      <c r="I27" s="172"/>
      <c r="J27" s="141"/>
      <c r="K27" s="173"/>
      <c r="L27" s="173"/>
      <c r="M27" s="173"/>
      <c r="N27" s="173"/>
      <c r="O27" s="173"/>
      <c r="P27" s="173"/>
      <c r="Q27" s="173"/>
      <c r="R27" s="173"/>
      <c r="S27" s="173"/>
      <c r="T27" s="173"/>
      <c r="U27" s="173"/>
      <c r="V27" s="173"/>
      <c r="W27" s="173"/>
      <c r="X27" s="173"/>
      <c r="Y27" s="173"/>
      <c r="Z27" s="173"/>
      <c r="AA27" s="173"/>
      <c r="AB27" s="173"/>
      <c r="AC27" s="173"/>
      <c r="AD27" s="173"/>
      <c r="AE27" s="173"/>
      <c r="AF27" s="173"/>
      <c r="AG27" s="173"/>
      <c r="AH27" s="173"/>
      <c r="AI27" s="173"/>
      <c r="AJ27" s="173"/>
      <c r="AK27" s="173"/>
      <c r="AL27" s="141"/>
      <c r="AM27" s="188"/>
      <c r="AN27" s="188"/>
      <c r="AO27" s="188"/>
      <c r="AP27" s="188"/>
      <c r="AQ27" s="188"/>
      <c r="AR27" s="188"/>
      <c r="AS27" s="188"/>
      <c r="AT27" s="188"/>
      <c r="AU27" s="188"/>
      <c r="AV27" s="188"/>
      <c r="AW27" s="188"/>
      <c r="AX27" s="188"/>
      <c r="AY27" s="188"/>
      <c r="AZ27" s="188"/>
      <c r="BA27" s="188"/>
      <c r="BB27" s="188"/>
      <c r="BC27" s="188"/>
      <c r="BD27" s="188"/>
      <c r="BE27" s="188"/>
      <c r="BF27" s="188"/>
      <c r="BG27" s="188"/>
      <c r="BH27" s="188"/>
      <c r="BI27" s="188"/>
      <c r="BJ27" s="188"/>
      <c r="BK27" s="188"/>
      <c r="BL27" s="188"/>
      <c r="BM27" s="188"/>
      <c r="BN27" s="188"/>
      <c r="BO27" s="188"/>
      <c r="BP27" s="188"/>
    </row>
    <row r="28" spans="2:68" x14ac:dyDescent="0.15">
      <c r="B28" s="170">
        <v>24791</v>
      </c>
      <c r="C28" s="170" t="s">
        <v>617</v>
      </c>
      <c r="D28" s="170" t="s">
        <v>573</v>
      </c>
      <c r="E28" s="170" t="s">
        <v>613</v>
      </c>
      <c r="F28" s="170" t="s">
        <v>618</v>
      </c>
      <c r="G28" s="170" t="s">
        <v>619</v>
      </c>
      <c r="H28" s="170">
        <v>27</v>
      </c>
      <c r="I28" s="169"/>
      <c r="J28" s="170" t="s">
        <v>83</v>
      </c>
      <c r="K28" s="171" t="s">
        <v>83</v>
      </c>
      <c r="L28" s="171" t="s">
        <v>83</v>
      </c>
      <c r="M28" s="171" t="s">
        <v>83</v>
      </c>
      <c r="N28" s="171" t="s">
        <v>83</v>
      </c>
      <c r="O28" s="171" t="s">
        <v>83</v>
      </c>
      <c r="P28" s="171" t="s">
        <v>83</v>
      </c>
      <c r="Q28" s="171" t="s">
        <v>83</v>
      </c>
      <c r="R28" s="171" t="s">
        <v>83</v>
      </c>
      <c r="S28" s="171" t="s">
        <v>83</v>
      </c>
      <c r="T28" s="171" t="s">
        <v>83</v>
      </c>
      <c r="U28" s="171" t="s">
        <v>83</v>
      </c>
      <c r="V28" s="171" t="s">
        <v>83</v>
      </c>
      <c r="W28" s="171" t="s">
        <v>83</v>
      </c>
      <c r="X28" s="171" t="s">
        <v>83</v>
      </c>
      <c r="Y28" s="171" t="s">
        <v>83</v>
      </c>
      <c r="Z28" s="171" t="s">
        <v>83</v>
      </c>
      <c r="AA28" s="171" t="s">
        <v>83</v>
      </c>
      <c r="AB28" s="171" t="s">
        <v>83</v>
      </c>
      <c r="AC28" s="171" t="s">
        <v>83</v>
      </c>
      <c r="AD28" s="171" t="s">
        <v>83</v>
      </c>
      <c r="AE28" s="171" t="s">
        <v>83</v>
      </c>
      <c r="AF28" s="171" t="s">
        <v>83</v>
      </c>
      <c r="AG28" s="171" t="s">
        <v>83</v>
      </c>
      <c r="AH28" s="171" t="s">
        <v>83</v>
      </c>
      <c r="AI28" s="171" t="s">
        <v>83</v>
      </c>
      <c r="AJ28" s="171" t="s">
        <v>83</v>
      </c>
      <c r="AK28" s="171" t="s">
        <v>83</v>
      </c>
      <c r="AL28" s="141"/>
      <c r="AM28" s="188"/>
      <c r="AN28" s="188"/>
      <c r="AO28" s="188"/>
      <c r="AP28" s="188"/>
      <c r="AQ28" s="188"/>
      <c r="AR28" s="188"/>
      <c r="AS28" s="188"/>
      <c r="AT28" s="188"/>
      <c r="AU28" s="188"/>
      <c r="AV28" s="188"/>
      <c r="AW28" s="188"/>
      <c r="AX28" s="188"/>
      <c r="AY28" s="188"/>
      <c r="AZ28" s="188"/>
      <c r="BA28" s="188"/>
      <c r="BB28" s="188"/>
      <c r="BC28" s="188"/>
      <c r="BD28" s="188"/>
      <c r="BE28" s="188"/>
      <c r="BF28" s="188"/>
      <c r="BG28" s="188"/>
      <c r="BH28" s="188"/>
      <c r="BI28" s="188"/>
      <c r="BJ28" s="188"/>
      <c r="BK28" s="188"/>
      <c r="BL28" s="188"/>
      <c r="BM28" s="188"/>
      <c r="BN28" s="188"/>
      <c r="BO28" s="188"/>
      <c r="BP28" s="188"/>
    </row>
    <row r="29" spans="2:68" x14ac:dyDescent="0.15">
      <c r="B29" s="141">
        <v>16652</v>
      </c>
      <c r="C29" s="141" t="s">
        <v>620</v>
      </c>
      <c r="D29" s="141" t="s">
        <v>573</v>
      </c>
      <c r="E29" s="141" t="s">
        <v>613</v>
      </c>
      <c r="F29" s="141" t="s">
        <v>621</v>
      </c>
      <c r="G29" s="141" t="s">
        <v>137</v>
      </c>
      <c r="H29" s="141">
        <v>30</v>
      </c>
      <c r="I29" s="172"/>
      <c r="J29" s="141"/>
      <c r="K29" s="173"/>
      <c r="L29" s="173"/>
      <c r="M29" s="173"/>
      <c r="N29" s="173"/>
      <c r="O29" s="173"/>
      <c r="P29" s="173"/>
      <c r="Q29" s="173"/>
      <c r="R29" s="173"/>
      <c r="S29" s="173"/>
      <c r="T29" s="173"/>
      <c r="U29" s="173"/>
      <c r="V29" s="173"/>
      <c r="W29" s="173"/>
      <c r="X29" s="173"/>
      <c r="Y29" s="173"/>
      <c r="Z29" s="173"/>
      <c r="AA29" s="173"/>
      <c r="AB29" s="173"/>
      <c r="AC29" s="173"/>
      <c r="AD29" s="173"/>
      <c r="AE29" s="173"/>
      <c r="AF29" s="173"/>
      <c r="AG29" s="173"/>
      <c r="AH29" s="173"/>
      <c r="AI29" s="173"/>
      <c r="AJ29" s="173"/>
      <c r="AK29" s="173"/>
      <c r="AL29" s="141"/>
      <c r="AM29" s="188"/>
      <c r="AN29" s="188"/>
      <c r="AO29" s="188"/>
      <c r="AP29" s="188"/>
      <c r="AQ29" s="188"/>
      <c r="AR29" s="188"/>
      <c r="AS29" s="188"/>
      <c r="AT29" s="188"/>
      <c r="AU29" s="188"/>
      <c r="AV29" s="188"/>
      <c r="AW29" s="188"/>
      <c r="AX29" s="188"/>
      <c r="AY29" s="188"/>
      <c r="AZ29" s="188"/>
      <c r="BA29" s="188"/>
      <c r="BB29" s="188"/>
      <c r="BC29" s="188"/>
      <c r="BD29" s="188"/>
      <c r="BE29" s="188"/>
      <c r="BF29" s="188"/>
      <c r="BG29" s="188"/>
      <c r="BH29" s="188"/>
      <c r="BI29" s="188"/>
      <c r="BJ29" s="188"/>
      <c r="BK29" s="188"/>
      <c r="BL29" s="188"/>
      <c r="BM29" s="188"/>
      <c r="BN29" s="188"/>
      <c r="BO29" s="188"/>
      <c r="BP29" s="188"/>
    </row>
    <row r="30" spans="2:68" x14ac:dyDescent="0.15">
      <c r="B30" s="170">
        <v>49214</v>
      </c>
      <c r="C30" s="170" t="s">
        <v>622</v>
      </c>
      <c r="D30" s="170" t="s">
        <v>573</v>
      </c>
      <c r="E30" s="170" t="s">
        <v>613</v>
      </c>
      <c r="F30" s="170"/>
      <c r="G30" s="170"/>
      <c r="H30" s="170">
        <v>30</v>
      </c>
      <c r="I30" s="169"/>
      <c r="J30" s="170"/>
      <c r="K30" s="171"/>
      <c r="L30" s="171"/>
      <c r="M30" s="171"/>
      <c r="N30" s="171"/>
      <c r="O30" s="171"/>
      <c r="P30" s="171"/>
      <c r="Q30" s="171"/>
      <c r="R30" s="171"/>
      <c r="S30" s="171"/>
      <c r="T30" s="171"/>
      <c r="U30" s="171"/>
      <c r="V30" s="171"/>
      <c r="W30" s="171"/>
      <c r="X30" s="171"/>
      <c r="Y30" s="171"/>
      <c r="Z30" s="171"/>
      <c r="AA30" s="171"/>
      <c r="AB30" s="171"/>
      <c r="AC30" s="171"/>
      <c r="AD30" s="171"/>
      <c r="AE30" s="171"/>
      <c r="AF30" s="171"/>
      <c r="AG30" s="171"/>
      <c r="AH30" s="171"/>
      <c r="AI30" s="171"/>
      <c r="AJ30" s="171"/>
      <c r="AK30" s="171"/>
      <c r="AL30" s="141"/>
      <c r="AM30" s="188"/>
      <c r="AN30" s="188"/>
      <c r="AO30" s="188"/>
      <c r="AP30" s="188"/>
      <c r="AQ30" s="188"/>
      <c r="AR30" s="188"/>
      <c r="AS30" s="188"/>
      <c r="AT30" s="188"/>
      <c r="AU30" s="188"/>
      <c r="AV30" s="188"/>
      <c r="AW30" s="188"/>
      <c r="AX30" s="188"/>
      <c r="AY30" s="188"/>
      <c r="AZ30" s="188"/>
      <c r="BA30" s="188"/>
      <c r="BB30" s="188"/>
      <c r="BC30" s="188"/>
      <c r="BD30" s="188"/>
      <c r="BE30" s="188"/>
      <c r="BF30" s="188"/>
      <c r="BG30" s="188"/>
      <c r="BH30" s="188"/>
      <c r="BI30" s="188"/>
      <c r="BJ30" s="188"/>
      <c r="BK30" s="188"/>
      <c r="BL30" s="188"/>
      <c r="BM30" s="188"/>
      <c r="BN30" s="188"/>
      <c r="BO30" s="188"/>
      <c r="BP30" s="188"/>
    </row>
    <row r="31" spans="2:68" x14ac:dyDescent="0.15">
      <c r="B31" s="141">
        <v>47830</v>
      </c>
      <c r="C31" s="141" t="s">
        <v>623</v>
      </c>
      <c r="D31" s="141" t="s">
        <v>573</v>
      </c>
      <c r="E31" s="141" t="s">
        <v>613</v>
      </c>
      <c r="F31" s="141" t="s">
        <v>624</v>
      </c>
      <c r="G31" s="141" t="s">
        <v>388</v>
      </c>
      <c r="H31" s="141">
        <v>18</v>
      </c>
      <c r="I31" s="172"/>
      <c r="J31" s="141"/>
      <c r="K31" s="173"/>
      <c r="L31" s="173"/>
      <c r="M31" s="173"/>
      <c r="N31" s="173"/>
      <c r="O31" s="173"/>
      <c r="P31" s="173"/>
      <c r="Q31" s="173"/>
      <c r="R31" s="173"/>
      <c r="S31" s="173"/>
      <c r="T31" s="173"/>
      <c r="U31" s="173"/>
      <c r="V31" s="173"/>
      <c r="W31" s="173"/>
      <c r="X31" s="173"/>
      <c r="Y31" s="173"/>
      <c r="Z31" s="173"/>
      <c r="AA31" s="173"/>
      <c r="AB31" s="173"/>
      <c r="AC31" s="173"/>
      <c r="AD31" s="173"/>
      <c r="AE31" s="173"/>
      <c r="AF31" s="173"/>
      <c r="AG31" s="173"/>
      <c r="AH31" s="173"/>
      <c r="AI31" s="173"/>
      <c r="AJ31" s="173"/>
      <c r="AK31" s="173"/>
      <c r="AL31" s="141"/>
      <c r="AM31" s="188"/>
      <c r="AN31" s="188"/>
      <c r="AO31" s="188"/>
      <c r="AP31" s="188"/>
      <c r="AQ31" s="188"/>
      <c r="AR31" s="188"/>
      <c r="AS31" s="188"/>
      <c r="AT31" s="188"/>
      <c r="AU31" s="188"/>
      <c r="AV31" s="188"/>
      <c r="AW31" s="188"/>
      <c r="AX31" s="188"/>
      <c r="AY31" s="188"/>
      <c r="AZ31" s="188"/>
      <c r="BA31" s="188"/>
      <c r="BB31" s="188"/>
      <c r="BC31" s="188"/>
      <c r="BD31" s="188"/>
      <c r="BE31" s="188"/>
      <c r="BF31" s="188"/>
      <c r="BG31" s="188"/>
      <c r="BH31" s="188"/>
      <c r="BI31" s="188"/>
      <c r="BJ31" s="188"/>
      <c r="BK31" s="188"/>
      <c r="BL31" s="188"/>
      <c r="BM31" s="188"/>
      <c r="BN31" s="188"/>
      <c r="BO31" s="188"/>
      <c r="BP31" s="188"/>
    </row>
    <row r="32" spans="2:68" x14ac:dyDescent="0.15">
      <c r="B32" s="170">
        <v>1974</v>
      </c>
      <c r="C32" s="170" t="s">
        <v>625</v>
      </c>
      <c r="D32" s="170" t="s">
        <v>573</v>
      </c>
      <c r="E32" s="170" t="s">
        <v>613</v>
      </c>
      <c r="F32" s="170" t="s">
        <v>626</v>
      </c>
      <c r="G32" s="170" t="s">
        <v>144</v>
      </c>
      <c r="H32" s="170">
        <v>50</v>
      </c>
      <c r="I32" s="169"/>
      <c r="J32" s="170" t="s">
        <v>83</v>
      </c>
      <c r="K32" s="171" t="s">
        <v>83</v>
      </c>
      <c r="L32" s="171" t="s">
        <v>83</v>
      </c>
      <c r="M32" s="171" t="s">
        <v>83</v>
      </c>
      <c r="N32" s="171" t="s">
        <v>83</v>
      </c>
      <c r="O32" s="171" t="s">
        <v>83</v>
      </c>
      <c r="P32" s="171" t="s">
        <v>83</v>
      </c>
      <c r="Q32" s="171" t="s">
        <v>83</v>
      </c>
      <c r="R32" s="171" t="s">
        <v>83</v>
      </c>
      <c r="S32" s="171" t="s">
        <v>83</v>
      </c>
      <c r="T32" s="171" t="s">
        <v>83</v>
      </c>
      <c r="U32" s="171" t="s">
        <v>83</v>
      </c>
      <c r="V32" s="171" t="s">
        <v>83</v>
      </c>
      <c r="W32" s="171" t="s">
        <v>83</v>
      </c>
      <c r="X32" s="171" t="s">
        <v>83</v>
      </c>
      <c r="Y32" s="171" t="s">
        <v>83</v>
      </c>
      <c r="Z32" s="171" t="s">
        <v>83</v>
      </c>
      <c r="AA32" s="171" t="s">
        <v>83</v>
      </c>
      <c r="AB32" s="171" t="s">
        <v>83</v>
      </c>
      <c r="AC32" s="171" t="s">
        <v>83</v>
      </c>
      <c r="AD32" s="171" t="s">
        <v>83</v>
      </c>
      <c r="AE32" s="171" t="s">
        <v>83</v>
      </c>
      <c r="AF32" s="171" t="s">
        <v>83</v>
      </c>
      <c r="AG32" s="171" t="s">
        <v>83</v>
      </c>
      <c r="AH32" s="171" t="s">
        <v>83</v>
      </c>
      <c r="AI32" s="171" t="s">
        <v>83</v>
      </c>
      <c r="AJ32" s="171" t="s">
        <v>83</v>
      </c>
      <c r="AK32" s="171" t="s">
        <v>83</v>
      </c>
      <c r="AL32" s="141"/>
      <c r="AM32" s="188"/>
      <c r="AN32" s="188"/>
      <c r="AO32" s="188"/>
      <c r="AP32" s="188"/>
      <c r="AQ32" s="188"/>
      <c r="AR32" s="188"/>
      <c r="AS32" s="188"/>
      <c r="AT32" s="188"/>
      <c r="AU32" s="188"/>
      <c r="AV32" s="188"/>
      <c r="AW32" s="188"/>
      <c r="AX32" s="188"/>
      <c r="AY32" s="188"/>
      <c r="AZ32" s="188"/>
      <c r="BA32" s="188"/>
      <c r="BB32" s="188"/>
      <c r="BC32" s="188"/>
      <c r="BD32" s="188"/>
      <c r="BE32" s="188"/>
      <c r="BF32" s="188"/>
      <c r="BG32" s="188"/>
      <c r="BH32" s="188"/>
      <c r="BI32" s="188"/>
      <c r="BJ32" s="188"/>
      <c r="BK32" s="188"/>
      <c r="BL32" s="188"/>
      <c r="BM32" s="188"/>
      <c r="BN32" s="188"/>
      <c r="BO32" s="188"/>
      <c r="BP32" s="188"/>
    </row>
    <row r="33" spans="1:68" x14ac:dyDescent="0.15">
      <c r="B33" s="174"/>
      <c r="C33" s="174"/>
      <c r="D33" s="174"/>
      <c r="E33" s="175" t="s">
        <v>114</v>
      </c>
      <c r="F33" s="176"/>
      <c r="G33" s="177">
        <v>25</v>
      </c>
      <c r="H33" s="178">
        <v>2393</v>
      </c>
      <c r="I33" s="174"/>
      <c r="J33" s="179" t="s">
        <v>115</v>
      </c>
      <c r="K33" s="174" t="s">
        <v>116</v>
      </c>
      <c r="L33" s="174"/>
      <c r="M33" s="174"/>
      <c r="N33" s="174"/>
      <c r="O33" s="174"/>
      <c r="P33" s="174"/>
      <c r="Q33" s="174"/>
      <c r="R33" s="174"/>
      <c r="S33" s="174"/>
      <c r="T33" s="174"/>
      <c r="U33" s="174"/>
      <c r="V33" s="174"/>
      <c r="W33" s="174"/>
      <c r="X33" s="174"/>
      <c r="Y33" s="174"/>
      <c r="Z33" s="174"/>
      <c r="AA33" s="174"/>
      <c r="AB33" s="174"/>
      <c r="AC33" s="174"/>
      <c r="AD33" s="174"/>
      <c r="AE33" s="174"/>
      <c r="AF33" s="174"/>
      <c r="AG33" s="174"/>
      <c r="AH33" s="174"/>
      <c r="AI33" s="174"/>
      <c r="AJ33" s="174"/>
      <c r="AK33" s="180"/>
      <c r="AM33" s="188"/>
      <c r="AN33" s="188"/>
      <c r="AO33" s="188"/>
      <c r="AP33" s="188"/>
      <c r="AQ33" s="188"/>
      <c r="AR33" s="188"/>
      <c r="AS33" s="188"/>
      <c r="AT33" s="188"/>
      <c r="AU33" s="188"/>
      <c r="AV33" s="188"/>
      <c r="AW33" s="188"/>
      <c r="AX33" s="188"/>
      <c r="AY33" s="188"/>
      <c r="AZ33" s="188"/>
      <c r="BA33" s="188"/>
      <c r="BB33" s="188"/>
      <c r="BC33" s="188"/>
      <c r="BD33" s="188"/>
      <c r="BE33" s="188"/>
      <c r="BF33" s="188"/>
      <c r="BG33" s="188"/>
      <c r="BH33" s="188"/>
      <c r="BI33" s="188"/>
      <c r="BJ33" s="188"/>
      <c r="BK33" s="188"/>
      <c r="BL33" s="188"/>
      <c r="BM33" s="188"/>
      <c r="BN33" s="188"/>
      <c r="BO33" s="188"/>
      <c r="BP33" s="188"/>
    </row>
    <row r="34" spans="1:68" x14ac:dyDescent="0.15">
      <c r="J34" s="141" t="s">
        <v>88</v>
      </c>
      <c r="K34" t="s">
        <v>117</v>
      </c>
      <c r="AK34" s="182"/>
      <c r="AM34" s="188"/>
      <c r="AN34" s="188"/>
      <c r="AO34" s="188"/>
      <c r="AP34" s="188"/>
      <c r="AQ34" s="188"/>
      <c r="AR34" s="188"/>
      <c r="AS34" s="188"/>
      <c r="AT34" s="188"/>
      <c r="AU34" s="188"/>
      <c r="AV34" s="188"/>
      <c r="AW34" s="188"/>
      <c r="AX34" s="188"/>
      <c r="AY34" s="188"/>
      <c r="AZ34" s="188"/>
      <c r="BA34" s="188"/>
      <c r="BB34" s="188"/>
      <c r="BC34" s="188"/>
      <c r="BD34" s="188"/>
      <c r="BE34" s="188"/>
      <c r="BF34" s="188"/>
      <c r="BG34" s="188"/>
      <c r="BH34" s="188"/>
      <c r="BI34" s="188"/>
      <c r="BJ34" s="188"/>
      <c r="BK34" s="188"/>
      <c r="BL34" s="188"/>
      <c r="BM34" s="188"/>
      <c r="BN34" s="188"/>
      <c r="BO34" s="188"/>
      <c r="BP34" s="188"/>
    </row>
    <row r="35" spans="1:68" x14ac:dyDescent="0.15">
      <c r="J35" s="141" t="s">
        <v>83</v>
      </c>
      <c r="K35" t="s">
        <v>118</v>
      </c>
      <c r="AK35" s="182"/>
      <c r="AM35" s="188"/>
      <c r="AN35" s="188"/>
      <c r="AO35" s="188"/>
      <c r="AP35" s="188"/>
      <c r="AQ35" s="188"/>
      <c r="AR35" s="188"/>
      <c r="AS35" s="188"/>
      <c r="AT35" s="188"/>
      <c r="AU35" s="188"/>
      <c r="AV35" s="188"/>
      <c r="AW35" s="188"/>
      <c r="AX35" s="188"/>
      <c r="AY35" s="188"/>
      <c r="AZ35" s="188"/>
      <c r="BA35" s="188"/>
      <c r="BB35" s="188"/>
      <c r="BC35" s="188"/>
      <c r="BD35" s="188"/>
      <c r="BE35" s="188"/>
      <c r="BF35" s="188"/>
      <c r="BG35" s="188"/>
      <c r="BH35" s="188"/>
      <c r="BI35" s="188"/>
      <c r="BJ35" s="188"/>
      <c r="BK35" s="188"/>
      <c r="BL35" s="188"/>
      <c r="BM35" s="188"/>
      <c r="BN35" s="188"/>
      <c r="BO35" s="188"/>
      <c r="BP35" s="188"/>
    </row>
    <row r="36" spans="1:68" x14ac:dyDescent="0.15">
      <c r="J36" s="141" t="s">
        <v>119</v>
      </c>
      <c r="AK36" s="182"/>
      <c r="AM36" s="188"/>
      <c r="AN36" s="188"/>
      <c r="AO36" s="188"/>
      <c r="AP36" s="188"/>
      <c r="AQ36" s="188"/>
      <c r="AR36" s="188"/>
      <c r="AS36" s="188"/>
      <c r="AT36" s="188"/>
      <c r="AU36" s="188"/>
      <c r="AV36" s="188"/>
      <c r="AW36" s="188"/>
      <c r="AX36" s="188"/>
      <c r="AY36" s="188"/>
      <c r="AZ36" s="188"/>
      <c r="BA36" s="188"/>
      <c r="BB36" s="188"/>
      <c r="BC36" s="188"/>
      <c r="BD36" s="188"/>
      <c r="BE36" s="188"/>
      <c r="BF36" s="188"/>
      <c r="BG36" s="188"/>
      <c r="BH36" s="188"/>
      <c r="BI36" s="188"/>
      <c r="BJ36" s="188"/>
      <c r="BK36" s="188"/>
      <c r="BL36" s="188"/>
      <c r="BM36" s="188"/>
      <c r="BN36" s="188"/>
      <c r="BO36" s="188"/>
      <c r="BP36" s="188"/>
    </row>
    <row r="37" spans="1:68" x14ac:dyDescent="0.15">
      <c r="J37" s="183" t="s">
        <v>87</v>
      </c>
      <c r="K37" s="181" t="s">
        <v>120</v>
      </c>
      <c r="L37" s="184"/>
      <c r="M37" s="184"/>
      <c r="N37" s="184"/>
      <c r="O37" s="184"/>
      <c r="P37" s="184"/>
      <c r="Q37" s="184"/>
      <c r="R37" s="184"/>
      <c r="S37" s="184"/>
      <c r="T37" s="184"/>
      <c r="U37" s="184"/>
      <c r="V37" s="184"/>
      <c r="W37" s="184"/>
      <c r="X37" s="184"/>
      <c r="Y37" s="184"/>
      <c r="Z37" s="184"/>
      <c r="AA37" s="184"/>
      <c r="AB37" s="184"/>
      <c r="AC37" s="184"/>
      <c r="AD37" s="184"/>
      <c r="AE37" s="184"/>
      <c r="AF37" s="184"/>
      <c r="AG37" s="184"/>
      <c r="AH37" s="184"/>
      <c r="AI37" s="184"/>
      <c r="AJ37" s="184"/>
      <c r="AK37" s="185"/>
      <c r="AM37" s="188"/>
      <c r="AN37" s="188"/>
      <c r="AO37" s="188"/>
      <c r="AP37" s="188"/>
      <c r="AQ37" s="188"/>
      <c r="AR37" s="188"/>
      <c r="AS37" s="188"/>
      <c r="AT37" s="188"/>
      <c r="AU37" s="188"/>
      <c r="AV37" s="188"/>
      <c r="AW37" s="188"/>
      <c r="AX37" s="188"/>
      <c r="AY37" s="188"/>
      <c r="AZ37" s="188"/>
      <c r="BA37" s="188"/>
      <c r="BB37" s="188"/>
      <c r="BC37" s="188"/>
      <c r="BD37" s="188"/>
      <c r="BE37" s="188"/>
      <c r="BF37" s="188"/>
      <c r="BG37" s="188"/>
      <c r="BH37" s="188"/>
      <c r="BI37" s="188"/>
      <c r="BJ37" s="188"/>
      <c r="BK37" s="188"/>
      <c r="BL37" s="188"/>
      <c r="BM37" s="188"/>
      <c r="BN37" s="188"/>
      <c r="BO37" s="188"/>
      <c r="BP37" s="188"/>
    </row>
    <row r="38" spans="1:68" x14ac:dyDescent="0.15">
      <c r="B38" s="190" t="s">
        <v>59</v>
      </c>
      <c r="AJ38" s="186"/>
      <c r="AM38" s="188"/>
      <c r="AN38" s="188"/>
      <c r="AO38" s="188"/>
      <c r="AP38" s="188"/>
      <c r="AQ38" s="188"/>
      <c r="AR38" s="188"/>
      <c r="AS38" s="188"/>
      <c r="AT38" s="188"/>
      <c r="AU38" s="188"/>
      <c r="AV38" s="188"/>
      <c r="AW38" s="188"/>
      <c r="AX38" s="188"/>
      <c r="AY38" s="188"/>
      <c r="AZ38" s="188"/>
      <c r="BA38" s="188"/>
      <c r="BB38" s="188"/>
      <c r="BC38" s="188"/>
      <c r="BD38" s="188"/>
      <c r="BE38" s="188"/>
      <c r="BF38" s="188"/>
      <c r="BG38" s="188"/>
      <c r="BH38" s="188"/>
      <c r="BI38" s="188"/>
      <c r="BJ38" s="188"/>
      <c r="BK38" s="188"/>
      <c r="BL38" s="188"/>
      <c r="BM38" s="188"/>
      <c r="BN38" s="188"/>
      <c r="BO38" s="188"/>
      <c r="BP38" s="188"/>
    </row>
    <row r="39" spans="1:68" x14ac:dyDescent="0.15">
      <c r="A39" s="160"/>
      <c r="B39" s="201" t="s">
        <v>10</v>
      </c>
      <c r="C39" s="202"/>
      <c r="D39" s="202"/>
      <c r="E39" s="202"/>
      <c r="F39" s="202"/>
      <c r="G39" s="202"/>
      <c r="H39" s="202"/>
      <c r="I39" s="202"/>
      <c r="J39" s="202"/>
      <c r="K39" s="202"/>
      <c r="L39" s="202"/>
      <c r="M39" s="202"/>
      <c r="N39" s="202"/>
      <c r="O39" s="202"/>
      <c r="P39" s="202"/>
      <c r="Q39" s="202"/>
      <c r="R39" s="202"/>
      <c r="S39" s="202"/>
      <c r="T39" s="202"/>
      <c r="U39" s="202"/>
      <c r="V39" s="202"/>
      <c r="W39" s="202"/>
      <c r="X39" s="202"/>
      <c r="Y39" s="202"/>
      <c r="Z39" s="202"/>
      <c r="AA39" s="202"/>
      <c r="AB39" s="202"/>
      <c r="AC39" s="202"/>
      <c r="AD39" s="202"/>
      <c r="AE39" s="202"/>
      <c r="AF39" s="202"/>
      <c r="AG39" s="202"/>
      <c r="AH39" s="202"/>
      <c r="AI39" s="202"/>
      <c r="AJ39" s="202"/>
      <c r="AK39" s="202"/>
      <c r="AL39" s="202"/>
      <c r="AM39" s="188"/>
      <c r="AN39" s="188"/>
      <c r="AO39" s="188"/>
      <c r="AP39" s="188"/>
      <c r="AQ39" s="188"/>
      <c r="AR39" s="188"/>
      <c r="AS39" s="188"/>
      <c r="AT39" s="188"/>
      <c r="AU39" s="188"/>
      <c r="AV39" s="188"/>
      <c r="AW39" s="188"/>
      <c r="AX39" s="188"/>
      <c r="AY39" s="188"/>
      <c r="AZ39" s="188"/>
      <c r="BA39" s="188"/>
      <c r="BB39" s="188"/>
      <c r="BC39" s="188"/>
      <c r="BD39" s="188"/>
      <c r="BE39" s="188"/>
      <c r="BF39" s="188"/>
      <c r="BG39" s="188"/>
      <c r="BH39" s="188"/>
      <c r="BI39" s="188"/>
      <c r="BJ39" s="188"/>
      <c r="BK39" s="188"/>
      <c r="BL39" s="188"/>
      <c r="BM39" s="188"/>
      <c r="BN39" s="188"/>
      <c r="BO39" s="188"/>
      <c r="BP39" s="188"/>
    </row>
    <row r="40" spans="1:68" x14ac:dyDescent="0.15">
      <c r="A40" s="160"/>
      <c r="B40" s="217"/>
      <c r="C40" s="217"/>
      <c r="D40" s="217"/>
      <c r="E40" s="217"/>
      <c r="F40" s="217"/>
      <c r="G40" s="217"/>
      <c r="H40" s="217"/>
      <c r="I40" s="217"/>
      <c r="J40" s="217"/>
      <c r="K40" s="217"/>
      <c r="L40" s="217"/>
      <c r="M40" s="217"/>
      <c r="N40" s="217"/>
      <c r="O40" s="217"/>
      <c r="P40" s="217"/>
      <c r="Q40" s="217"/>
      <c r="R40" s="217"/>
      <c r="S40" s="217"/>
      <c r="T40" s="217"/>
      <c r="U40" s="217"/>
      <c r="V40" s="217"/>
      <c r="W40" s="217"/>
      <c r="X40" s="217"/>
      <c r="Y40" s="217"/>
      <c r="Z40" s="217"/>
      <c r="AA40" s="217"/>
      <c r="AB40" s="217"/>
      <c r="AC40" s="217"/>
      <c r="AD40" s="217"/>
      <c r="AE40" s="217"/>
      <c r="AF40" s="217"/>
      <c r="AG40" s="217"/>
      <c r="AH40" s="217"/>
      <c r="AI40" s="217"/>
      <c r="AJ40" s="217"/>
      <c r="AK40" s="217"/>
      <c r="AL40" s="217"/>
      <c r="AM40" s="188"/>
      <c r="AN40" s="188"/>
      <c r="AO40" s="188"/>
      <c r="AP40" s="188"/>
      <c r="AQ40" s="188"/>
      <c r="AR40" s="188"/>
      <c r="AS40" s="188"/>
      <c r="AT40" s="188"/>
      <c r="AU40" s="188"/>
      <c r="AV40" s="188"/>
      <c r="AW40" s="188"/>
      <c r="AX40" s="188"/>
      <c r="AY40" s="188"/>
      <c r="AZ40" s="188"/>
      <c r="BA40" s="188"/>
      <c r="BB40" s="188"/>
      <c r="BC40" s="188"/>
      <c r="BD40" s="188"/>
      <c r="BE40" s="188"/>
      <c r="BF40" s="188"/>
      <c r="BG40" s="188"/>
      <c r="BH40" s="188"/>
      <c r="BI40" s="188"/>
      <c r="BJ40" s="188"/>
      <c r="BK40" s="188"/>
      <c r="BL40" s="188"/>
      <c r="BM40" s="188"/>
      <c r="BN40" s="188"/>
      <c r="BO40" s="188"/>
      <c r="BP40" s="188"/>
    </row>
    <row r="41" spans="1:68" x14ac:dyDescent="0.15">
      <c r="A41" s="160"/>
      <c r="B41" s="217"/>
      <c r="C41" s="217"/>
      <c r="D41" s="217"/>
      <c r="E41" s="217"/>
      <c r="F41" s="217"/>
      <c r="G41" s="217"/>
      <c r="H41" s="217"/>
      <c r="I41" s="217"/>
      <c r="J41" s="217"/>
      <c r="K41" s="217"/>
      <c r="L41" s="217"/>
      <c r="M41" s="217"/>
      <c r="N41" s="217"/>
      <c r="O41" s="217"/>
      <c r="P41" s="217"/>
      <c r="Q41" s="217"/>
      <c r="R41" s="217"/>
      <c r="S41" s="217"/>
      <c r="T41" s="217"/>
      <c r="U41" s="217"/>
      <c r="V41" s="217"/>
      <c r="W41" s="217"/>
      <c r="X41" s="217"/>
      <c r="Y41" s="217"/>
      <c r="Z41" s="217"/>
      <c r="AA41" s="217"/>
      <c r="AB41" s="217"/>
      <c r="AC41" s="217"/>
      <c r="AD41" s="217"/>
      <c r="AE41" s="217"/>
      <c r="AF41" s="217"/>
      <c r="AG41" s="217"/>
      <c r="AH41" s="217"/>
      <c r="AI41" s="217"/>
      <c r="AJ41" s="217"/>
      <c r="AK41" s="217"/>
      <c r="AL41" s="217"/>
      <c r="AM41" s="188"/>
      <c r="AN41" s="188"/>
      <c r="AO41" s="188"/>
      <c r="AP41" s="188"/>
      <c r="AQ41" s="188"/>
      <c r="AR41" s="188"/>
      <c r="AS41" s="188"/>
      <c r="AT41" s="188"/>
      <c r="AU41" s="188"/>
      <c r="AV41" s="188"/>
      <c r="AW41" s="188"/>
      <c r="AX41" s="188"/>
      <c r="AY41" s="188"/>
      <c r="AZ41" s="188"/>
      <c r="BA41" s="188"/>
      <c r="BB41" s="188"/>
      <c r="BC41" s="188"/>
      <c r="BD41" s="188"/>
      <c r="BE41" s="188"/>
      <c r="BF41" s="188"/>
      <c r="BG41" s="188"/>
      <c r="BH41" s="188"/>
      <c r="BI41" s="188"/>
      <c r="BJ41" s="188"/>
      <c r="BK41" s="188"/>
      <c r="BL41" s="188"/>
      <c r="BM41" s="188"/>
      <c r="BN41" s="188"/>
      <c r="BO41" s="188"/>
      <c r="BP41" s="188"/>
    </row>
    <row r="42" spans="1:68" x14ac:dyDescent="0.15">
      <c r="A42" s="188"/>
      <c r="B42" s="188"/>
      <c r="C42" s="188"/>
      <c r="D42" s="188"/>
      <c r="E42" s="188"/>
      <c r="F42" s="188"/>
      <c r="G42" s="188"/>
      <c r="H42" s="188"/>
      <c r="I42" s="188"/>
      <c r="J42" s="188"/>
      <c r="K42" s="188"/>
      <c r="L42" s="188"/>
      <c r="M42" s="188"/>
      <c r="N42" s="188"/>
      <c r="O42" s="188"/>
      <c r="P42" s="188"/>
      <c r="Q42" s="188"/>
      <c r="R42" s="188"/>
      <c r="S42" s="188"/>
      <c r="T42" s="188"/>
      <c r="U42" s="188"/>
      <c r="V42" s="188"/>
      <c r="W42" s="188"/>
      <c r="X42" s="188"/>
      <c r="Y42" s="188"/>
      <c r="Z42" s="188"/>
      <c r="AA42" s="188"/>
      <c r="AB42" s="188"/>
      <c r="AC42" s="188"/>
      <c r="AD42" s="188"/>
      <c r="AE42" s="188"/>
      <c r="AF42" s="188"/>
      <c r="AG42" s="188"/>
      <c r="AH42" s="188"/>
      <c r="AI42" s="188"/>
      <c r="AJ42" s="188"/>
      <c r="AK42" s="188"/>
      <c r="AL42" s="188"/>
      <c r="AM42" s="188"/>
      <c r="AN42" s="188"/>
      <c r="AO42" s="188"/>
      <c r="AP42" s="188"/>
      <c r="AQ42" s="188"/>
      <c r="AR42" s="188"/>
      <c r="AS42" s="188"/>
      <c r="AT42" s="188"/>
      <c r="AU42" s="188"/>
      <c r="AV42" s="188"/>
      <c r="AW42" s="188"/>
      <c r="AX42" s="188"/>
      <c r="AY42" s="188"/>
      <c r="AZ42" s="188"/>
      <c r="BA42" s="188"/>
      <c r="BB42" s="188"/>
      <c r="BC42" s="188"/>
      <c r="BD42" s="188"/>
      <c r="BE42" s="188"/>
      <c r="BF42" s="188"/>
      <c r="BG42" s="188"/>
      <c r="BH42" s="188"/>
      <c r="BI42" s="188"/>
      <c r="BJ42" s="188"/>
      <c r="BK42" s="188"/>
      <c r="BL42" s="188"/>
      <c r="BM42" s="188"/>
      <c r="BN42" s="188"/>
      <c r="BO42" s="188"/>
      <c r="BP42" s="188"/>
    </row>
    <row r="43" spans="1:68" x14ac:dyDescent="0.15">
      <c r="A43" s="188"/>
      <c r="B43" s="188"/>
      <c r="C43" s="188"/>
      <c r="D43" s="188"/>
      <c r="E43" s="188"/>
      <c r="F43" s="188"/>
      <c r="G43" s="188"/>
      <c r="H43" s="188"/>
      <c r="I43" s="188"/>
      <c r="J43" s="188"/>
      <c r="K43" s="188"/>
      <c r="L43" s="188"/>
      <c r="M43" s="188"/>
      <c r="N43" s="188"/>
      <c r="O43" s="188"/>
      <c r="P43" s="188"/>
      <c r="Q43" s="188"/>
      <c r="R43" s="188"/>
      <c r="S43" s="188"/>
      <c r="T43" s="188"/>
      <c r="U43" s="188"/>
      <c r="V43" s="188"/>
      <c r="W43" s="188"/>
      <c r="X43" s="188"/>
      <c r="Y43" s="188"/>
      <c r="Z43" s="188"/>
      <c r="AA43" s="188"/>
      <c r="AB43" s="188"/>
      <c r="AC43" s="188"/>
      <c r="AD43" s="188"/>
      <c r="AE43" s="188"/>
      <c r="AF43" s="188"/>
      <c r="AG43" s="188"/>
      <c r="AH43" s="188"/>
      <c r="AI43" s="188"/>
      <c r="AJ43" s="188"/>
      <c r="AK43" s="188"/>
      <c r="AL43" s="188"/>
      <c r="AM43" s="188"/>
      <c r="AN43" s="188"/>
      <c r="AO43" s="188"/>
      <c r="AP43" s="188"/>
      <c r="AQ43" s="188"/>
      <c r="AR43" s="188"/>
      <c r="AS43" s="188"/>
      <c r="AT43" s="188"/>
      <c r="AU43" s="188"/>
      <c r="AV43" s="188"/>
      <c r="AW43" s="188"/>
      <c r="AX43" s="188"/>
      <c r="AY43" s="188"/>
      <c r="AZ43" s="188"/>
      <c r="BA43" s="188"/>
      <c r="BB43" s="188"/>
      <c r="BC43" s="188"/>
      <c r="BD43" s="188"/>
      <c r="BE43" s="188"/>
      <c r="BF43" s="188"/>
      <c r="BG43" s="188"/>
      <c r="BH43" s="188"/>
      <c r="BI43" s="188"/>
      <c r="BJ43" s="188"/>
      <c r="BK43" s="188"/>
      <c r="BL43" s="188"/>
      <c r="BM43" s="188"/>
      <c r="BN43" s="188"/>
      <c r="BO43" s="188"/>
      <c r="BP43" s="188"/>
    </row>
    <row r="44" spans="1:68" x14ac:dyDescent="0.15">
      <c r="A44" s="188"/>
      <c r="B44" s="188"/>
      <c r="C44" s="188"/>
      <c r="D44" s="188"/>
      <c r="E44" s="188"/>
      <c r="F44" s="188"/>
      <c r="G44" s="188"/>
      <c r="H44" s="188"/>
      <c r="I44" s="188"/>
      <c r="J44" s="188"/>
      <c r="K44" s="188"/>
      <c r="L44" s="188"/>
      <c r="M44" s="188"/>
      <c r="N44" s="188"/>
      <c r="O44" s="188"/>
      <c r="P44" s="188"/>
      <c r="Q44" s="188"/>
      <c r="R44" s="188"/>
      <c r="S44" s="188"/>
      <c r="T44" s="188"/>
      <c r="U44" s="188"/>
      <c r="V44" s="188"/>
      <c r="W44" s="188"/>
      <c r="X44" s="188"/>
      <c r="Y44" s="188"/>
      <c r="Z44" s="188"/>
      <c r="AA44" s="188"/>
      <c r="AB44" s="188"/>
      <c r="AC44" s="188"/>
      <c r="AD44" s="188"/>
      <c r="AE44" s="188"/>
      <c r="AF44" s="188"/>
      <c r="AG44" s="188"/>
      <c r="AH44" s="188"/>
      <c r="AI44" s="188"/>
      <c r="AJ44" s="188"/>
      <c r="AK44" s="188"/>
      <c r="AL44" s="188"/>
      <c r="AM44" s="188"/>
      <c r="AN44" s="188"/>
      <c r="AO44" s="188"/>
      <c r="AP44" s="188"/>
      <c r="AQ44" s="188"/>
      <c r="AR44" s="188"/>
      <c r="AS44" s="188"/>
      <c r="AT44" s="188"/>
      <c r="AU44" s="188"/>
      <c r="AV44" s="188"/>
      <c r="AW44" s="188"/>
      <c r="AX44" s="188"/>
      <c r="AY44" s="188"/>
      <c r="AZ44" s="188"/>
      <c r="BA44" s="188"/>
      <c r="BB44" s="188"/>
      <c r="BC44" s="188"/>
      <c r="BD44" s="188"/>
      <c r="BE44" s="188"/>
      <c r="BF44" s="188"/>
      <c r="BG44" s="188"/>
      <c r="BH44" s="188"/>
      <c r="BI44" s="188"/>
      <c r="BJ44" s="188"/>
      <c r="BK44" s="188"/>
      <c r="BL44" s="188"/>
      <c r="BM44" s="188"/>
      <c r="BN44" s="188"/>
      <c r="BO44" s="188"/>
      <c r="BP44" s="188"/>
    </row>
    <row r="45" spans="1:68" x14ac:dyDescent="0.15">
      <c r="A45" s="188"/>
      <c r="B45" s="188"/>
      <c r="C45" s="188"/>
      <c r="D45" s="188"/>
      <c r="E45" s="188"/>
      <c r="F45" s="188"/>
      <c r="G45" s="188"/>
      <c r="H45" s="188"/>
      <c r="I45" s="188"/>
      <c r="J45" s="188"/>
      <c r="K45" s="188"/>
      <c r="L45" s="188"/>
      <c r="M45" s="188"/>
      <c r="N45" s="188"/>
      <c r="O45" s="188"/>
      <c r="P45" s="188"/>
      <c r="Q45" s="188"/>
      <c r="R45" s="188"/>
      <c r="S45" s="188"/>
      <c r="T45" s="188"/>
      <c r="U45" s="188"/>
      <c r="V45" s="188"/>
      <c r="W45" s="188"/>
      <c r="X45" s="188"/>
      <c r="Y45" s="188"/>
      <c r="Z45" s="188"/>
      <c r="AA45" s="188"/>
      <c r="AB45" s="188"/>
      <c r="AC45" s="188"/>
      <c r="AD45" s="188"/>
      <c r="AE45" s="188"/>
      <c r="AF45" s="188"/>
      <c r="AG45" s="188"/>
      <c r="AH45" s="188"/>
      <c r="AI45" s="188"/>
      <c r="AJ45" s="188"/>
      <c r="AK45" s="188"/>
      <c r="AL45" s="188"/>
      <c r="AM45" s="188"/>
      <c r="AN45" s="188"/>
      <c r="AO45" s="188"/>
      <c r="AP45" s="188"/>
      <c r="AQ45" s="188"/>
      <c r="AR45" s="188"/>
      <c r="AS45" s="188"/>
      <c r="AT45" s="188"/>
      <c r="AU45" s="188"/>
      <c r="AV45" s="188"/>
      <c r="AW45" s="188"/>
      <c r="AX45" s="188"/>
      <c r="AY45" s="188"/>
      <c r="AZ45" s="188"/>
      <c r="BA45" s="188"/>
      <c r="BB45" s="188"/>
      <c r="BC45" s="188"/>
      <c r="BD45" s="188"/>
      <c r="BE45" s="188"/>
      <c r="BF45" s="188"/>
      <c r="BG45" s="188"/>
      <c r="BH45" s="188"/>
      <c r="BI45" s="188"/>
      <c r="BJ45" s="188"/>
      <c r="BK45" s="188"/>
      <c r="BL45" s="188"/>
      <c r="BM45" s="188"/>
      <c r="BN45" s="188"/>
      <c r="BO45" s="188"/>
      <c r="BP45" s="188"/>
    </row>
    <row r="46" spans="1:68" x14ac:dyDescent="0.15">
      <c r="A46" s="188"/>
      <c r="B46" s="188"/>
      <c r="C46" s="188"/>
      <c r="D46" s="188"/>
      <c r="E46" s="188"/>
      <c r="F46" s="188"/>
      <c r="G46" s="188"/>
      <c r="H46" s="188"/>
      <c r="I46" s="188"/>
      <c r="J46" s="188"/>
      <c r="K46" s="188"/>
      <c r="L46" s="188"/>
      <c r="M46" s="188"/>
      <c r="N46" s="188"/>
      <c r="O46" s="188"/>
      <c r="P46" s="188"/>
      <c r="Q46" s="188"/>
      <c r="R46" s="188"/>
      <c r="S46" s="188"/>
      <c r="T46" s="188"/>
      <c r="U46" s="188"/>
      <c r="V46" s="188"/>
      <c r="W46" s="188"/>
      <c r="X46" s="188"/>
      <c r="Y46" s="188"/>
      <c r="Z46" s="188"/>
      <c r="AA46" s="188"/>
      <c r="AB46" s="188"/>
      <c r="AC46" s="188"/>
      <c r="AD46" s="188"/>
      <c r="AE46" s="188"/>
      <c r="AF46" s="188"/>
      <c r="AG46" s="188"/>
      <c r="AH46" s="188"/>
      <c r="AI46" s="188"/>
      <c r="AJ46" s="188"/>
      <c r="AK46" s="188"/>
      <c r="AL46" s="188"/>
      <c r="AM46" s="188"/>
      <c r="AN46" s="188"/>
      <c r="AO46" s="188"/>
      <c r="AP46" s="188"/>
      <c r="AQ46" s="188"/>
      <c r="AR46" s="188"/>
      <c r="AS46" s="188"/>
      <c r="AT46" s="188"/>
      <c r="AU46" s="188"/>
      <c r="AV46" s="188"/>
      <c r="AW46" s="188"/>
      <c r="AX46" s="188"/>
      <c r="AY46" s="188"/>
      <c r="AZ46" s="188"/>
      <c r="BA46" s="188"/>
      <c r="BB46" s="188"/>
      <c r="BC46" s="188"/>
      <c r="BD46" s="188"/>
      <c r="BE46" s="188"/>
      <c r="BF46" s="188"/>
      <c r="BG46" s="188"/>
      <c r="BH46" s="188"/>
      <c r="BI46" s="188"/>
      <c r="BJ46" s="188"/>
      <c r="BK46" s="188"/>
      <c r="BL46" s="188"/>
      <c r="BM46" s="188"/>
      <c r="BN46" s="188"/>
      <c r="BO46" s="188"/>
      <c r="BP46" s="188"/>
    </row>
    <row r="47" spans="1:68" x14ac:dyDescent="0.15">
      <c r="A47" s="188"/>
      <c r="B47" s="188"/>
      <c r="C47" s="188"/>
      <c r="D47" s="188"/>
      <c r="E47" s="188"/>
      <c r="F47" s="188"/>
      <c r="G47" s="188"/>
      <c r="H47" s="188"/>
      <c r="I47" s="188"/>
      <c r="J47" s="188"/>
      <c r="K47" s="188"/>
      <c r="L47" s="188"/>
      <c r="M47" s="188"/>
      <c r="N47" s="188"/>
      <c r="O47" s="188"/>
      <c r="P47" s="188"/>
      <c r="Q47" s="188"/>
      <c r="R47" s="188"/>
      <c r="S47" s="188"/>
      <c r="T47" s="188"/>
      <c r="U47" s="188"/>
      <c r="V47" s="188"/>
      <c r="W47" s="188"/>
      <c r="X47" s="188"/>
      <c r="Y47" s="188"/>
      <c r="Z47" s="188"/>
      <c r="AA47" s="188"/>
      <c r="AB47" s="188"/>
      <c r="AC47" s="188"/>
      <c r="AD47" s="188"/>
      <c r="AE47" s="188"/>
      <c r="AF47" s="188"/>
      <c r="AG47" s="188"/>
      <c r="AH47" s="188"/>
      <c r="AI47" s="188"/>
      <c r="AJ47" s="188"/>
      <c r="AK47" s="188"/>
      <c r="AL47" s="188"/>
      <c r="AM47" s="188"/>
      <c r="AN47" s="188"/>
      <c r="AO47" s="188"/>
      <c r="AP47" s="188"/>
      <c r="AQ47" s="188"/>
      <c r="AR47" s="188"/>
      <c r="AS47" s="188"/>
      <c r="AT47" s="188"/>
      <c r="AU47" s="188"/>
      <c r="AV47" s="188"/>
      <c r="AW47" s="188"/>
      <c r="AX47" s="188"/>
      <c r="AY47" s="188"/>
      <c r="AZ47" s="188"/>
      <c r="BA47" s="188"/>
      <c r="BB47" s="188"/>
      <c r="BC47" s="188"/>
      <c r="BD47" s="188"/>
      <c r="BE47" s="188"/>
      <c r="BF47" s="188"/>
      <c r="BG47" s="188"/>
      <c r="BH47" s="188"/>
      <c r="BI47" s="188"/>
      <c r="BJ47" s="188"/>
      <c r="BK47" s="188"/>
      <c r="BL47" s="188"/>
      <c r="BM47" s="188"/>
      <c r="BN47" s="188"/>
      <c r="BO47" s="188"/>
      <c r="BP47" s="188"/>
    </row>
    <row r="48" spans="1:68" x14ac:dyDescent="0.15">
      <c r="A48" s="188"/>
      <c r="B48" s="188"/>
      <c r="C48" s="188"/>
      <c r="D48" s="188"/>
      <c r="E48" s="188"/>
      <c r="F48" s="188"/>
      <c r="G48" s="188"/>
      <c r="H48" s="188"/>
      <c r="I48" s="188"/>
      <c r="J48" s="188"/>
      <c r="K48" s="188"/>
      <c r="L48" s="188"/>
      <c r="M48" s="188"/>
      <c r="N48" s="188"/>
      <c r="O48" s="188"/>
      <c r="P48" s="188"/>
      <c r="Q48" s="188"/>
      <c r="R48" s="188"/>
      <c r="S48" s="188"/>
      <c r="T48" s="188"/>
      <c r="U48" s="188"/>
      <c r="V48" s="188"/>
      <c r="W48" s="188"/>
      <c r="X48" s="188"/>
      <c r="Y48" s="188"/>
      <c r="Z48" s="188"/>
      <c r="AA48" s="188"/>
      <c r="AB48" s="188"/>
      <c r="AC48" s="188"/>
      <c r="AD48" s="188"/>
      <c r="AE48" s="188"/>
      <c r="AF48" s="188"/>
      <c r="AG48" s="188"/>
      <c r="AH48" s="188"/>
      <c r="AI48" s="188"/>
      <c r="AJ48" s="188"/>
      <c r="AK48" s="188"/>
      <c r="AL48" s="188"/>
      <c r="AM48" s="188"/>
      <c r="AN48" s="188"/>
      <c r="AO48" s="188"/>
      <c r="AP48" s="188"/>
      <c r="AQ48" s="188"/>
      <c r="AR48" s="188"/>
      <c r="AS48" s="188"/>
      <c r="AT48" s="188"/>
      <c r="AU48" s="188"/>
      <c r="AV48" s="188"/>
      <c r="AW48" s="188"/>
      <c r="AX48" s="188"/>
      <c r="AY48" s="188"/>
      <c r="AZ48" s="188"/>
      <c r="BA48" s="188"/>
      <c r="BB48" s="188"/>
      <c r="BC48" s="188"/>
      <c r="BD48" s="188"/>
      <c r="BE48" s="188"/>
      <c r="BF48" s="188"/>
      <c r="BG48" s="188"/>
      <c r="BH48" s="188"/>
      <c r="BI48" s="188"/>
      <c r="BJ48" s="188"/>
      <c r="BK48" s="188"/>
      <c r="BL48" s="188"/>
      <c r="BM48" s="188"/>
      <c r="BN48" s="188"/>
      <c r="BO48" s="188"/>
      <c r="BP48" s="188"/>
    </row>
    <row r="49" spans="1:68" x14ac:dyDescent="0.15">
      <c r="A49" s="188"/>
      <c r="B49" s="188"/>
      <c r="C49" s="188"/>
      <c r="D49" s="188"/>
      <c r="E49" s="188"/>
      <c r="F49" s="188"/>
      <c r="G49" s="188"/>
      <c r="H49" s="188"/>
      <c r="I49" s="188"/>
      <c r="J49" s="188"/>
      <c r="K49" s="188"/>
      <c r="L49" s="188"/>
      <c r="M49" s="188"/>
      <c r="N49" s="188"/>
      <c r="O49" s="188"/>
      <c r="P49" s="188"/>
      <c r="Q49" s="188"/>
      <c r="R49" s="188"/>
      <c r="S49" s="188"/>
      <c r="T49" s="188"/>
      <c r="U49" s="188"/>
      <c r="V49" s="188"/>
      <c r="W49" s="188"/>
      <c r="X49" s="188"/>
      <c r="Y49" s="188"/>
      <c r="Z49" s="188"/>
      <c r="AA49" s="188"/>
      <c r="AB49" s="188"/>
      <c r="AC49" s="188"/>
      <c r="AD49" s="188"/>
      <c r="AE49" s="188"/>
      <c r="AF49" s="188"/>
      <c r="AG49" s="188"/>
      <c r="AH49" s="188"/>
      <c r="AI49" s="188"/>
      <c r="AJ49" s="188"/>
      <c r="AK49" s="188"/>
      <c r="AL49" s="188"/>
      <c r="AM49" s="188"/>
      <c r="AN49" s="188"/>
      <c r="AO49" s="188"/>
      <c r="AP49" s="188"/>
      <c r="AQ49" s="188"/>
      <c r="AR49" s="188"/>
      <c r="AS49" s="188"/>
      <c r="AT49" s="188"/>
      <c r="AU49" s="188"/>
      <c r="AV49" s="188"/>
      <c r="AW49" s="188"/>
      <c r="AX49" s="188"/>
      <c r="AY49" s="188"/>
      <c r="AZ49" s="188"/>
      <c r="BA49" s="188"/>
      <c r="BB49" s="188"/>
      <c r="BC49" s="188"/>
      <c r="BD49" s="188"/>
      <c r="BE49" s="188"/>
      <c r="BF49" s="188"/>
      <c r="BG49" s="188"/>
      <c r="BH49" s="188"/>
      <c r="BI49" s="188"/>
      <c r="BJ49" s="188"/>
      <c r="BK49" s="188"/>
      <c r="BL49" s="188"/>
      <c r="BM49" s="188"/>
      <c r="BN49" s="188"/>
      <c r="BO49" s="188"/>
      <c r="BP49" s="188"/>
    </row>
    <row r="50" spans="1:68" x14ac:dyDescent="0.15">
      <c r="A50" s="188"/>
      <c r="B50" s="188"/>
      <c r="C50" s="188"/>
      <c r="D50" s="188"/>
      <c r="E50" s="188"/>
      <c r="F50" s="188"/>
      <c r="G50" s="188"/>
      <c r="H50" s="188"/>
      <c r="I50" s="188"/>
      <c r="J50" s="188"/>
      <c r="K50" s="188"/>
      <c r="L50" s="188"/>
      <c r="M50" s="188"/>
      <c r="N50" s="188"/>
      <c r="O50" s="188"/>
      <c r="P50" s="188"/>
      <c r="Q50" s="188"/>
      <c r="R50" s="188"/>
      <c r="S50" s="188"/>
      <c r="T50" s="188"/>
      <c r="U50" s="188"/>
      <c r="V50" s="188"/>
      <c r="W50" s="188"/>
      <c r="X50" s="188"/>
      <c r="Y50" s="188"/>
      <c r="Z50" s="188"/>
      <c r="AA50" s="188"/>
      <c r="AB50" s="188"/>
      <c r="AC50" s="188"/>
      <c r="AD50" s="188"/>
      <c r="AE50" s="188"/>
      <c r="AF50" s="188"/>
      <c r="AG50" s="188"/>
      <c r="AH50" s="188"/>
      <c r="AI50" s="188"/>
      <c r="AJ50" s="188"/>
      <c r="AK50" s="188"/>
      <c r="AL50" s="188"/>
      <c r="AM50" s="188"/>
      <c r="AN50" s="188"/>
      <c r="AO50" s="188"/>
      <c r="AP50" s="188"/>
      <c r="AQ50" s="188"/>
      <c r="AR50" s="188"/>
      <c r="AS50" s="188"/>
      <c r="AT50" s="188"/>
      <c r="AU50" s="188"/>
      <c r="AV50" s="188"/>
      <c r="AW50" s="188"/>
      <c r="AX50" s="188"/>
      <c r="AY50" s="188"/>
      <c r="AZ50" s="188"/>
      <c r="BA50" s="188"/>
      <c r="BB50" s="188"/>
      <c r="BC50" s="188"/>
      <c r="BD50" s="188"/>
      <c r="BE50" s="188"/>
      <c r="BF50" s="188"/>
      <c r="BG50" s="188"/>
      <c r="BH50" s="188"/>
      <c r="BI50" s="188"/>
      <c r="BJ50" s="188"/>
      <c r="BK50" s="188"/>
      <c r="BL50" s="188"/>
      <c r="BM50" s="188"/>
      <c r="BN50" s="188"/>
      <c r="BO50" s="188"/>
      <c r="BP50" s="188"/>
    </row>
    <row r="51" spans="1:68" x14ac:dyDescent="0.15">
      <c r="A51" s="188"/>
      <c r="B51" s="188"/>
      <c r="C51" s="188"/>
      <c r="D51" s="188"/>
      <c r="E51" s="188"/>
      <c r="F51" s="188"/>
      <c r="G51" s="188"/>
      <c r="H51" s="188"/>
      <c r="I51" s="188"/>
      <c r="J51" s="188"/>
      <c r="K51" s="188"/>
      <c r="L51" s="188"/>
      <c r="M51" s="188"/>
      <c r="N51" s="188"/>
      <c r="O51" s="188"/>
      <c r="P51" s="188"/>
      <c r="Q51" s="188"/>
      <c r="R51" s="188"/>
      <c r="S51" s="188"/>
      <c r="T51" s="188"/>
      <c r="U51" s="188"/>
      <c r="V51" s="188"/>
      <c r="W51" s="188"/>
      <c r="X51" s="188"/>
      <c r="Y51" s="188"/>
      <c r="Z51" s="188"/>
      <c r="AA51" s="188"/>
      <c r="AB51" s="188"/>
      <c r="AC51" s="188"/>
      <c r="AD51" s="188"/>
      <c r="AE51" s="188"/>
      <c r="AF51" s="188"/>
      <c r="AG51" s="188"/>
      <c r="AH51" s="188"/>
      <c r="AI51" s="188"/>
      <c r="AJ51" s="188"/>
      <c r="AK51" s="188"/>
      <c r="AL51" s="188"/>
      <c r="AM51" s="188"/>
      <c r="AN51" s="188"/>
      <c r="AO51" s="188"/>
      <c r="AP51" s="188"/>
      <c r="AQ51" s="188"/>
      <c r="AR51" s="188"/>
      <c r="AS51" s="188"/>
      <c r="AT51" s="188"/>
      <c r="AU51" s="188"/>
      <c r="AV51" s="188"/>
      <c r="AW51" s="188"/>
      <c r="AX51" s="188"/>
      <c r="AY51" s="188"/>
      <c r="AZ51" s="188"/>
      <c r="BA51" s="188"/>
      <c r="BB51" s="188"/>
      <c r="BC51" s="188"/>
      <c r="BD51" s="188"/>
      <c r="BE51" s="188"/>
      <c r="BF51" s="188"/>
      <c r="BG51" s="188"/>
      <c r="BH51" s="188"/>
      <c r="BI51" s="188"/>
      <c r="BJ51" s="188"/>
      <c r="BK51" s="188"/>
      <c r="BL51" s="188"/>
      <c r="BM51" s="188"/>
      <c r="BN51" s="188"/>
      <c r="BO51" s="188"/>
      <c r="BP51" s="188"/>
    </row>
    <row r="52" spans="1:68" x14ac:dyDescent="0.15">
      <c r="A52" s="188"/>
      <c r="B52" s="188"/>
      <c r="C52" s="188"/>
      <c r="D52" s="188"/>
      <c r="E52" s="188"/>
      <c r="F52" s="188"/>
      <c r="G52" s="188"/>
      <c r="H52" s="188"/>
      <c r="I52" s="188"/>
      <c r="J52" s="188"/>
      <c r="K52" s="188"/>
      <c r="L52" s="188"/>
      <c r="M52" s="188"/>
      <c r="N52" s="188"/>
      <c r="O52" s="188"/>
      <c r="P52" s="188"/>
      <c r="Q52" s="188"/>
      <c r="R52" s="188"/>
      <c r="S52" s="188"/>
      <c r="T52" s="188"/>
      <c r="U52" s="188"/>
      <c r="V52" s="188"/>
      <c r="W52" s="188"/>
      <c r="X52" s="188"/>
      <c r="Y52" s="188"/>
      <c r="Z52" s="188"/>
      <c r="AA52" s="188"/>
      <c r="AB52" s="188"/>
      <c r="AC52" s="188"/>
      <c r="AD52" s="188"/>
      <c r="AE52" s="188"/>
      <c r="AF52" s="188"/>
      <c r="AG52" s="188"/>
      <c r="AH52" s="188"/>
      <c r="AI52" s="188"/>
      <c r="AJ52" s="188"/>
      <c r="AK52" s="188"/>
      <c r="AL52" s="188"/>
      <c r="AM52" s="188"/>
      <c r="AN52" s="188"/>
      <c r="AO52" s="188"/>
      <c r="AP52" s="188"/>
      <c r="AQ52" s="188"/>
      <c r="AR52" s="188"/>
      <c r="AS52" s="188"/>
      <c r="AT52" s="188"/>
      <c r="AU52" s="188"/>
      <c r="AV52" s="188"/>
      <c r="AW52" s="188"/>
      <c r="AX52" s="188"/>
      <c r="AY52" s="188"/>
      <c r="AZ52" s="188"/>
      <c r="BA52" s="188"/>
      <c r="BB52" s="188"/>
      <c r="BC52" s="188"/>
      <c r="BD52" s="188"/>
      <c r="BE52" s="188"/>
      <c r="BF52" s="188"/>
      <c r="BG52" s="188"/>
      <c r="BH52" s="188"/>
      <c r="BI52" s="188"/>
      <c r="BJ52" s="188"/>
      <c r="BK52" s="188"/>
      <c r="BL52" s="188"/>
      <c r="BM52" s="188"/>
      <c r="BN52" s="188"/>
      <c r="BO52" s="188"/>
      <c r="BP52" s="188"/>
    </row>
    <row r="53" spans="1:68" x14ac:dyDescent="0.15">
      <c r="A53" s="188"/>
      <c r="B53" s="188"/>
      <c r="C53" s="188"/>
      <c r="D53" s="188"/>
      <c r="E53" s="188"/>
      <c r="F53" s="188"/>
      <c r="G53" s="188"/>
      <c r="H53" s="188"/>
      <c r="I53" s="188"/>
      <c r="J53" s="188"/>
      <c r="K53" s="188"/>
      <c r="L53" s="188"/>
      <c r="M53" s="188"/>
      <c r="N53" s="188"/>
      <c r="O53" s="188"/>
      <c r="P53" s="188"/>
      <c r="Q53" s="188"/>
      <c r="R53" s="188"/>
      <c r="S53" s="188"/>
      <c r="T53" s="188"/>
      <c r="U53" s="188"/>
      <c r="V53" s="188"/>
      <c r="W53" s="188"/>
      <c r="X53" s="188"/>
      <c r="Y53" s="188"/>
      <c r="Z53" s="188"/>
      <c r="AA53" s="188"/>
      <c r="AB53" s="188"/>
      <c r="AC53" s="188"/>
      <c r="AD53" s="188"/>
      <c r="AE53" s="188"/>
      <c r="AF53" s="188"/>
      <c r="AG53" s="188"/>
      <c r="AH53" s="188"/>
      <c r="AI53" s="188"/>
      <c r="AJ53" s="188"/>
      <c r="AK53" s="188"/>
      <c r="AL53" s="188"/>
      <c r="AM53" s="188"/>
      <c r="AN53" s="188"/>
      <c r="AO53" s="188"/>
      <c r="AP53" s="188"/>
      <c r="AQ53" s="188"/>
      <c r="AR53" s="188"/>
      <c r="AS53" s="188"/>
      <c r="AT53" s="188"/>
      <c r="AU53" s="188"/>
      <c r="AV53" s="188"/>
      <c r="AW53" s="188"/>
      <c r="AX53" s="188"/>
      <c r="AY53" s="188"/>
      <c r="AZ53" s="188"/>
      <c r="BA53" s="188"/>
      <c r="BB53" s="188"/>
      <c r="BC53" s="188"/>
      <c r="BD53" s="188"/>
      <c r="BE53" s="188"/>
      <c r="BF53" s="188"/>
      <c r="BG53" s="188"/>
      <c r="BH53" s="188"/>
      <c r="BI53" s="188"/>
      <c r="BJ53" s="188"/>
      <c r="BK53" s="188"/>
      <c r="BL53" s="188"/>
      <c r="BM53" s="188"/>
      <c r="BN53" s="188"/>
      <c r="BO53" s="188"/>
      <c r="BP53" s="188"/>
    </row>
    <row r="54" spans="1:68" x14ac:dyDescent="0.15">
      <c r="A54" s="188"/>
      <c r="B54" s="188"/>
      <c r="C54" s="188"/>
      <c r="D54" s="188"/>
      <c r="E54" s="188"/>
      <c r="F54" s="188"/>
      <c r="G54" s="188"/>
      <c r="H54" s="188"/>
      <c r="I54" s="188"/>
      <c r="J54" s="188"/>
      <c r="K54" s="188"/>
      <c r="L54" s="188"/>
      <c r="M54" s="188"/>
      <c r="N54" s="188"/>
      <c r="O54" s="188"/>
      <c r="P54" s="188"/>
      <c r="Q54" s="188"/>
      <c r="R54" s="188"/>
      <c r="S54" s="188"/>
      <c r="T54" s="188"/>
      <c r="U54" s="188"/>
      <c r="V54" s="188"/>
      <c r="W54" s="188"/>
      <c r="X54" s="188"/>
      <c r="Y54" s="188"/>
      <c r="Z54" s="188"/>
      <c r="AA54" s="188"/>
      <c r="AB54" s="188"/>
      <c r="AC54" s="188"/>
      <c r="AD54" s="188"/>
      <c r="AE54" s="188"/>
      <c r="AF54" s="188"/>
      <c r="AG54" s="188"/>
      <c r="AH54" s="188"/>
      <c r="AI54" s="188"/>
      <c r="AJ54" s="188"/>
      <c r="AK54" s="188"/>
      <c r="AL54" s="188"/>
      <c r="AM54" s="188"/>
      <c r="AN54" s="188"/>
      <c r="AO54" s="188"/>
      <c r="AP54" s="188"/>
      <c r="AQ54" s="188"/>
      <c r="AR54" s="188"/>
      <c r="AS54" s="188"/>
      <c r="AT54" s="188"/>
      <c r="AU54" s="188"/>
      <c r="AV54" s="188"/>
      <c r="AW54" s="188"/>
      <c r="AX54" s="188"/>
      <c r="AY54" s="188"/>
      <c r="AZ54" s="188"/>
      <c r="BA54" s="188"/>
      <c r="BB54" s="188"/>
      <c r="BC54" s="188"/>
      <c r="BD54" s="188"/>
      <c r="BE54" s="188"/>
      <c r="BF54" s="188"/>
      <c r="BG54" s="188"/>
      <c r="BH54" s="188"/>
      <c r="BI54" s="188"/>
      <c r="BJ54" s="188"/>
      <c r="BK54" s="188"/>
      <c r="BL54" s="188"/>
      <c r="BM54" s="188"/>
      <c r="BN54" s="188"/>
      <c r="BO54" s="188"/>
      <c r="BP54" s="188"/>
    </row>
    <row r="55" spans="1:68" x14ac:dyDescent="0.15">
      <c r="A55" s="188"/>
      <c r="B55" s="188"/>
      <c r="C55" s="188"/>
      <c r="D55" s="188"/>
      <c r="E55" s="188"/>
      <c r="F55" s="188"/>
      <c r="G55" s="188"/>
      <c r="H55" s="188"/>
      <c r="I55" s="188"/>
      <c r="J55" s="188"/>
      <c r="K55" s="188"/>
      <c r="L55" s="188"/>
      <c r="M55" s="188"/>
      <c r="N55" s="188"/>
      <c r="O55" s="188"/>
      <c r="P55" s="188"/>
      <c r="Q55" s="188"/>
      <c r="R55" s="188"/>
      <c r="S55" s="188"/>
      <c r="T55" s="188"/>
      <c r="U55" s="188"/>
      <c r="V55" s="188"/>
      <c r="W55" s="188"/>
      <c r="X55" s="188"/>
      <c r="Y55" s="188"/>
      <c r="Z55" s="188"/>
      <c r="AA55" s="188"/>
      <c r="AB55" s="188"/>
      <c r="AC55" s="188"/>
      <c r="AD55" s="188"/>
      <c r="AE55" s="188"/>
      <c r="AF55" s="188"/>
      <c r="AG55" s="188"/>
      <c r="AH55" s="188"/>
      <c r="AI55" s="188"/>
      <c r="AJ55" s="188"/>
      <c r="AK55" s="188"/>
      <c r="AL55" s="188"/>
      <c r="AM55" s="188"/>
      <c r="AN55" s="188"/>
      <c r="AO55" s="188"/>
      <c r="AP55" s="188"/>
      <c r="AQ55" s="188"/>
      <c r="AR55" s="188"/>
      <c r="AS55" s="188"/>
      <c r="AT55" s="188"/>
      <c r="AU55" s="188"/>
      <c r="AV55" s="188"/>
      <c r="AW55" s="188"/>
      <c r="AX55" s="188"/>
      <c r="AY55" s="188"/>
      <c r="AZ55" s="188"/>
      <c r="BA55" s="188"/>
      <c r="BB55" s="188"/>
      <c r="BC55" s="188"/>
      <c r="BD55" s="188"/>
      <c r="BE55" s="188"/>
      <c r="BF55" s="188"/>
      <c r="BG55" s="188"/>
      <c r="BH55" s="188"/>
      <c r="BI55" s="188"/>
      <c r="BJ55" s="188"/>
      <c r="BK55" s="188"/>
      <c r="BL55" s="188"/>
      <c r="BM55" s="188"/>
      <c r="BN55" s="188"/>
      <c r="BO55" s="188"/>
      <c r="BP55" s="188"/>
    </row>
    <row r="56" spans="1:68" x14ac:dyDescent="0.15">
      <c r="A56" s="188"/>
      <c r="B56" s="188"/>
      <c r="C56" s="188"/>
      <c r="D56" s="188"/>
      <c r="E56" s="188"/>
      <c r="F56" s="188"/>
      <c r="G56" s="188"/>
      <c r="H56" s="188"/>
      <c r="I56" s="188"/>
      <c r="J56" s="188"/>
      <c r="K56" s="188"/>
      <c r="L56" s="188"/>
      <c r="M56" s="188"/>
      <c r="N56" s="188"/>
      <c r="O56" s="188"/>
      <c r="P56" s="188"/>
      <c r="Q56" s="188"/>
      <c r="R56" s="188"/>
      <c r="S56" s="188"/>
      <c r="T56" s="188"/>
      <c r="U56" s="188"/>
      <c r="V56" s="188"/>
      <c r="W56" s="188"/>
      <c r="X56" s="188"/>
      <c r="Y56" s="188"/>
      <c r="Z56" s="188"/>
      <c r="AA56" s="188"/>
      <c r="AB56" s="188"/>
      <c r="AC56" s="188"/>
      <c r="AD56" s="188"/>
      <c r="AE56" s="188"/>
      <c r="AF56" s="188"/>
      <c r="AG56" s="188"/>
      <c r="AH56" s="188"/>
      <c r="AI56" s="188"/>
      <c r="AJ56" s="188"/>
      <c r="AK56" s="188"/>
      <c r="AL56" s="188"/>
      <c r="AM56" s="188"/>
      <c r="AN56" s="188"/>
      <c r="AO56" s="188"/>
      <c r="AP56" s="188"/>
      <c r="AQ56" s="188"/>
      <c r="AR56" s="188"/>
      <c r="AS56" s="188"/>
      <c r="AT56" s="188"/>
      <c r="AU56" s="188"/>
      <c r="AV56" s="188"/>
      <c r="AW56" s="188"/>
      <c r="AX56" s="188"/>
      <c r="AY56" s="188"/>
      <c r="AZ56" s="188"/>
      <c r="BA56" s="188"/>
      <c r="BB56" s="188"/>
      <c r="BC56" s="188"/>
      <c r="BD56" s="188"/>
      <c r="BE56" s="188"/>
      <c r="BF56" s="188"/>
      <c r="BG56" s="188"/>
      <c r="BH56" s="188"/>
      <c r="BI56" s="188"/>
      <c r="BJ56" s="188"/>
      <c r="BK56" s="188"/>
      <c r="BL56" s="188"/>
      <c r="BM56" s="188"/>
      <c r="BN56" s="188"/>
      <c r="BO56" s="188"/>
      <c r="BP56" s="188"/>
    </row>
    <row r="57" spans="1:68" x14ac:dyDescent="0.15">
      <c r="A57" s="188"/>
      <c r="B57" s="188"/>
      <c r="C57" s="188"/>
      <c r="D57" s="188"/>
      <c r="E57" s="188"/>
      <c r="F57" s="188"/>
      <c r="G57" s="188"/>
      <c r="H57" s="188"/>
      <c r="I57" s="188"/>
      <c r="J57" s="188"/>
      <c r="K57" s="188"/>
      <c r="L57" s="188"/>
      <c r="M57" s="188"/>
      <c r="N57" s="188"/>
      <c r="O57" s="188"/>
      <c r="P57" s="188"/>
      <c r="Q57" s="188"/>
      <c r="R57" s="188"/>
      <c r="S57" s="188"/>
      <c r="T57" s="188"/>
      <c r="U57" s="188"/>
      <c r="V57" s="188"/>
      <c r="W57" s="188"/>
      <c r="X57" s="188"/>
      <c r="Y57" s="188"/>
      <c r="Z57" s="188"/>
      <c r="AA57" s="188"/>
      <c r="AB57" s="188"/>
      <c r="AC57" s="188"/>
      <c r="AD57" s="188"/>
      <c r="AE57" s="188"/>
      <c r="AF57" s="188"/>
      <c r="AG57" s="188"/>
      <c r="AH57" s="188"/>
      <c r="AI57" s="188"/>
      <c r="AJ57" s="188"/>
      <c r="AK57" s="188"/>
      <c r="AL57" s="188"/>
      <c r="AM57" s="188"/>
      <c r="AN57" s="188"/>
      <c r="AO57" s="188"/>
      <c r="AP57" s="188"/>
      <c r="AQ57" s="188"/>
      <c r="AR57" s="188"/>
      <c r="AS57" s="188"/>
      <c r="AT57" s="188"/>
      <c r="AU57" s="188"/>
      <c r="AV57" s="188"/>
      <c r="AW57" s="188"/>
      <c r="AX57" s="188"/>
      <c r="AY57" s="188"/>
      <c r="AZ57" s="188"/>
      <c r="BA57" s="188"/>
      <c r="BB57" s="188"/>
      <c r="BC57" s="188"/>
      <c r="BD57" s="188"/>
      <c r="BE57" s="188"/>
      <c r="BF57" s="188"/>
      <c r="BG57" s="188"/>
      <c r="BH57" s="188"/>
      <c r="BI57" s="188"/>
      <c r="BJ57" s="188"/>
      <c r="BK57" s="188"/>
      <c r="BL57" s="188"/>
      <c r="BM57" s="188"/>
      <c r="BN57" s="188"/>
      <c r="BO57" s="188"/>
      <c r="BP57" s="188"/>
    </row>
    <row r="58" spans="1:68" x14ac:dyDescent="0.15">
      <c r="A58" s="188"/>
      <c r="B58" s="188"/>
      <c r="C58" s="188"/>
      <c r="D58" s="188"/>
      <c r="E58" s="188"/>
      <c r="F58" s="188"/>
      <c r="G58" s="188"/>
      <c r="H58" s="188"/>
      <c r="I58" s="188"/>
      <c r="J58" s="188"/>
      <c r="K58" s="188"/>
      <c r="L58" s="188"/>
      <c r="M58" s="188"/>
      <c r="N58" s="188"/>
      <c r="O58" s="188"/>
      <c r="P58" s="188"/>
      <c r="Q58" s="188"/>
      <c r="R58" s="188"/>
      <c r="S58" s="188"/>
      <c r="T58" s="188"/>
      <c r="U58" s="188"/>
      <c r="V58" s="188"/>
      <c r="W58" s="188"/>
      <c r="X58" s="188"/>
      <c r="Y58" s="188"/>
      <c r="Z58" s="188"/>
      <c r="AA58" s="188"/>
      <c r="AB58" s="188"/>
      <c r="AC58" s="188"/>
      <c r="AD58" s="188"/>
      <c r="AE58" s="188"/>
      <c r="AF58" s="188"/>
      <c r="AG58" s="188"/>
      <c r="AH58" s="188"/>
      <c r="AI58" s="188"/>
      <c r="AJ58" s="188"/>
      <c r="AK58" s="188"/>
      <c r="AL58" s="188"/>
      <c r="AM58" s="188"/>
      <c r="AN58" s="188"/>
      <c r="AO58" s="188"/>
      <c r="AP58" s="188"/>
      <c r="AQ58" s="188"/>
      <c r="AR58" s="188"/>
      <c r="AS58" s="188"/>
      <c r="AT58" s="188"/>
      <c r="AU58" s="188"/>
      <c r="AV58" s="188"/>
      <c r="AW58" s="188"/>
      <c r="AX58" s="188"/>
      <c r="AY58" s="188"/>
      <c r="AZ58" s="188"/>
      <c r="BA58" s="188"/>
      <c r="BB58" s="188"/>
      <c r="BC58" s="188"/>
      <c r="BD58" s="188"/>
      <c r="BE58" s="188"/>
      <c r="BF58" s="188"/>
      <c r="BG58" s="188"/>
      <c r="BH58" s="188"/>
      <c r="BI58" s="188"/>
      <c r="BJ58" s="188"/>
      <c r="BK58" s="188"/>
      <c r="BL58" s="188"/>
      <c r="BM58" s="188"/>
      <c r="BN58" s="188"/>
      <c r="BO58" s="188"/>
      <c r="BP58" s="188"/>
    </row>
    <row r="59" spans="1:68" x14ac:dyDescent="0.15">
      <c r="A59" s="188"/>
      <c r="B59" s="188"/>
      <c r="C59" s="188"/>
      <c r="D59" s="188"/>
      <c r="E59" s="188"/>
      <c r="F59" s="188"/>
      <c r="G59" s="188"/>
      <c r="H59" s="188"/>
      <c r="I59" s="188"/>
      <c r="J59" s="188"/>
      <c r="K59" s="188"/>
      <c r="L59" s="188"/>
      <c r="M59" s="188"/>
      <c r="N59" s="188"/>
      <c r="O59" s="188"/>
      <c r="P59" s="188"/>
      <c r="Q59" s="188"/>
      <c r="R59" s="188"/>
      <c r="S59" s="188"/>
      <c r="T59" s="188"/>
      <c r="U59" s="188"/>
      <c r="V59" s="188"/>
      <c r="W59" s="188"/>
      <c r="X59" s="188"/>
      <c r="Y59" s="188"/>
      <c r="Z59" s="188"/>
      <c r="AA59" s="188"/>
      <c r="AB59" s="188"/>
      <c r="AC59" s="188"/>
      <c r="AD59" s="188"/>
      <c r="AE59" s="188"/>
      <c r="AF59" s="188"/>
      <c r="AG59" s="188"/>
      <c r="AH59" s="188"/>
      <c r="AI59" s="188"/>
      <c r="AJ59" s="188"/>
      <c r="AK59" s="188"/>
      <c r="AL59" s="188"/>
      <c r="AM59" s="188"/>
      <c r="AN59" s="188"/>
      <c r="AO59" s="188"/>
      <c r="AP59" s="188"/>
      <c r="AQ59" s="188"/>
      <c r="AR59" s="188"/>
      <c r="AS59" s="188"/>
      <c r="AT59" s="188"/>
      <c r="AU59" s="188"/>
      <c r="AV59" s="188"/>
      <c r="AW59" s="188"/>
      <c r="AX59" s="188"/>
      <c r="AY59" s="188"/>
      <c r="AZ59" s="188"/>
      <c r="BA59" s="188"/>
      <c r="BB59" s="188"/>
      <c r="BC59" s="188"/>
      <c r="BD59" s="188"/>
      <c r="BE59" s="188"/>
      <c r="BF59" s="188"/>
      <c r="BG59" s="188"/>
      <c r="BH59" s="188"/>
      <c r="BI59" s="188"/>
      <c r="BJ59" s="188"/>
      <c r="BK59" s="188"/>
      <c r="BL59" s="188"/>
      <c r="BM59" s="188"/>
      <c r="BN59" s="188"/>
      <c r="BO59" s="188"/>
      <c r="BP59" s="188"/>
    </row>
    <row r="60" spans="1:68" x14ac:dyDescent="0.15">
      <c r="A60" s="188"/>
      <c r="B60" s="188"/>
      <c r="C60" s="188"/>
      <c r="D60" s="188"/>
      <c r="E60" s="188"/>
      <c r="F60" s="188"/>
      <c r="G60" s="188"/>
      <c r="H60" s="188"/>
      <c r="I60" s="188"/>
      <c r="J60" s="188"/>
      <c r="K60" s="188"/>
      <c r="L60" s="188"/>
      <c r="M60" s="188"/>
      <c r="N60" s="188"/>
      <c r="O60" s="188"/>
      <c r="P60" s="188"/>
      <c r="Q60" s="188"/>
      <c r="R60" s="188"/>
      <c r="S60" s="188"/>
      <c r="T60" s="188"/>
      <c r="U60" s="188"/>
      <c r="V60" s="188"/>
      <c r="W60" s="188"/>
      <c r="X60" s="188"/>
      <c r="Y60" s="188"/>
      <c r="Z60" s="188"/>
      <c r="AA60" s="188"/>
      <c r="AB60" s="188"/>
      <c r="AC60" s="188"/>
      <c r="AD60" s="188"/>
      <c r="AE60" s="188"/>
      <c r="AF60" s="188"/>
      <c r="AG60" s="188"/>
      <c r="AH60" s="188"/>
      <c r="AI60" s="188"/>
      <c r="AJ60" s="188"/>
      <c r="AK60" s="188"/>
      <c r="AL60" s="188"/>
      <c r="AM60" s="188"/>
      <c r="AN60" s="188"/>
      <c r="AO60" s="188"/>
      <c r="AP60" s="188"/>
      <c r="AQ60" s="188"/>
      <c r="AR60" s="188"/>
      <c r="AS60" s="188"/>
      <c r="AT60" s="188"/>
      <c r="AU60" s="188"/>
      <c r="AV60" s="188"/>
      <c r="AW60" s="188"/>
      <c r="AX60" s="188"/>
      <c r="AY60" s="188"/>
      <c r="AZ60" s="188"/>
      <c r="BA60" s="188"/>
      <c r="BB60" s="188"/>
      <c r="BC60" s="188"/>
      <c r="BD60" s="188"/>
      <c r="BE60" s="188"/>
      <c r="BF60" s="188"/>
      <c r="BG60" s="188"/>
      <c r="BH60" s="188"/>
      <c r="BI60" s="188"/>
      <c r="BJ60" s="188"/>
      <c r="BK60" s="188"/>
      <c r="BL60" s="188"/>
      <c r="BM60" s="188"/>
      <c r="BN60" s="188"/>
      <c r="BO60" s="188"/>
      <c r="BP60" s="188"/>
    </row>
    <row r="61" spans="1:68" x14ac:dyDescent="0.15">
      <c r="A61" s="188"/>
      <c r="B61" s="188"/>
      <c r="C61" s="188"/>
      <c r="D61" s="188"/>
      <c r="E61" s="188"/>
      <c r="F61" s="188"/>
      <c r="G61" s="188"/>
      <c r="H61" s="188"/>
      <c r="I61" s="188"/>
      <c r="J61" s="188"/>
      <c r="K61" s="188"/>
      <c r="L61" s="188"/>
      <c r="M61" s="188"/>
      <c r="N61" s="188"/>
      <c r="O61" s="188"/>
      <c r="P61" s="188"/>
      <c r="Q61" s="188"/>
      <c r="R61" s="188"/>
      <c r="S61" s="188"/>
      <c r="T61" s="188"/>
      <c r="U61" s="188"/>
      <c r="V61" s="188"/>
      <c r="W61" s="188"/>
      <c r="X61" s="188"/>
      <c r="Y61" s="188"/>
      <c r="Z61" s="188"/>
      <c r="AA61" s="188"/>
      <c r="AB61" s="188"/>
      <c r="AC61" s="188"/>
      <c r="AD61" s="188"/>
      <c r="AE61" s="188"/>
      <c r="AF61" s="188"/>
      <c r="AG61" s="188"/>
      <c r="AH61" s="188"/>
      <c r="AI61" s="188"/>
      <c r="AJ61" s="188"/>
      <c r="AK61" s="188"/>
      <c r="AL61" s="188"/>
      <c r="AM61" s="188"/>
      <c r="AN61" s="188"/>
      <c r="AO61" s="188"/>
      <c r="AP61" s="188"/>
      <c r="AQ61" s="188"/>
      <c r="AR61" s="188"/>
      <c r="AS61" s="188"/>
      <c r="AT61" s="188"/>
      <c r="AU61" s="188"/>
      <c r="AV61" s="188"/>
      <c r="AW61" s="188"/>
      <c r="AX61" s="188"/>
      <c r="AY61" s="188"/>
      <c r="AZ61" s="188"/>
      <c r="BA61" s="188"/>
      <c r="BB61" s="188"/>
      <c r="BC61" s="188"/>
      <c r="BD61" s="188"/>
      <c r="BE61" s="188"/>
      <c r="BF61" s="188"/>
      <c r="BG61" s="188"/>
      <c r="BH61" s="188"/>
      <c r="BI61" s="188"/>
      <c r="BJ61" s="188"/>
      <c r="BK61" s="188"/>
      <c r="BL61" s="188"/>
      <c r="BM61" s="188"/>
      <c r="BN61" s="188"/>
      <c r="BO61" s="188"/>
      <c r="BP61" s="188"/>
    </row>
    <row r="62" spans="1:68" x14ac:dyDescent="0.15">
      <c r="A62" s="188"/>
      <c r="B62" s="188"/>
      <c r="C62" s="188"/>
      <c r="D62" s="188"/>
      <c r="E62" s="188"/>
      <c r="F62" s="188"/>
      <c r="G62" s="188"/>
      <c r="H62" s="188"/>
      <c r="I62" s="188"/>
      <c r="J62" s="188"/>
      <c r="K62" s="188"/>
      <c r="L62" s="188"/>
      <c r="M62" s="188"/>
      <c r="N62" s="188"/>
      <c r="O62" s="188"/>
      <c r="P62" s="188"/>
      <c r="Q62" s="188"/>
      <c r="R62" s="188"/>
      <c r="S62" s="188"/>
      <c r="T62" s="188"/>
      <c r="U62" s="188"/>
      <c r="V62" s="188"/>
      <c r="W62" s="188"/>
      <c r="X62" s="188"/>
      <c r="Y62" s="188"/>
      <c r="Z62" s="188"/>
      <c r="AA62" s="188"/>
      <c r="AB62" s="188"/>
      <c r="AC62" s="188"/>
      <c r="AD62" s="188"/>
      <c r="AE62" s="188"/>
      <c r="AF62" s="188"/>
      <c r="AG62" s="188"/>
      <c r="AH62" s="188"/>
      <c r="AI62" s="188"/>
      <c r="AJ62" s="188"/>
      <c r="AK62" s="188"/>
      <c r="AL62" s="188"/>
      <c r="AM62" s="188"/>
      <c r="AN62" s="188"/>
      <c r="AO62" s="188"/>
      <c r="AP62" s="188"/>
      <c r="AQ62" s="188"/>
      <c r="AR62" s="188"/>
      <c r="AS62" s="188"/>
      <c r="AT62" s="188"/>
      <c r="AU62" s="188"/>
      <c r="AV62" s="188"/>
      <c r="AW62" s="188"/>
      <c r="AX62" s="188"/>
      <c r="AY62" s="188"/>
      <c r="AZ62" s="188"/>
      <c r="BA62" s="188"/>
      <c r="BB62" s="188"/>
      <c r="BC62" s="188"/>
      <c r="BD62" s="188"/>
      <c r="BE62" s="188"/>
      <c r="BF62" s="188"/>
      <c r="BG62" s="188"/>
      <c r="BH62" s="188"/>
      <c r="BI62" s="188"/>
      <c r="BJ62" s="188"/>
      <c r="BK62" s="188"/>
      <c r="BL62" s="188"/>
      <c r="BM62" s="188"/>
      <c r="BN62" s="188"/>
      <c r="BO62" s="188"/>
      <c r="BP62" s="188"/>
    </row>
    <row r="63" spans="1:68" x14ac:dyDescent="0.15">
      <c r="A63" s="188"/>
      <c r="B63" s="188"/>
      <c r="C63" s="188"/>
      <c r="D63" s="188"/>
      <c r="E63" s="188"/>
      <c r="F63" s="188"/>
      <c r="G63" s="188"/>
      <c r="H63" s="188"/>
      <c r="I63" s="188"/>
      <c r="J63" s="188"/>
      <c r="K63" s="188"/>
      <c r="L63" s="188"/>
      <c r="M63" s="188"/>
      <c r="N63" s="188"/>
      <c r="O63" s="188"/>
      <c r="P63" s="188"/>
      <c r="Q63" s="188"/>
      <c r="R63" s="188"/>
      <c r="S63" s="188"/>
      <c r="T63" s="188"/>
      <c r="U63" s="188"/>
      <c r="V63" s="188"/>
      <c r="W63" s="188"/>
      <c r="X63" s="188"/>
      <c r="Y63" s="188"/>
      <c r="Z63" s="188"/>
      <c r="AA63" s="188"/>
      <c r="AB63" s="188"/>
      <c r="AC63" s="188"/>
      <c r="AD63" s="188"/>
      <c r="AE63" s="188"/>
      <c r="AF63" s="188"/>
      <c r="AG63" s="188"/>
      <c r="AH63" s="188"/>
      <c r="AI63" s="188"/>
      <c r="AJ63" s="188"/>
      <c r="AK63" s="188"/>
      <c r="AL63" s="188"/>
      <c r="AM63" s="188"/>
      <c r="AN63" s="188"/>
      <c r="AO63" s="188"/>
      <c r="AP63" s="188"/>
      <c r="AQ63" s="188"/>
      <c r="AR63" s="188"/>
      <c r="AS63" s="188"/>
      <c r="AT63" s="188"/>
      <c r="AU63" s="188"/>
      <c r="AV63" s="188"/>
      <c r="AW63" s="188"/>
      <c r="AX63" s="188"/>
      <c r="AY63" s="188"/>
      <c r="AZ63" s="188"/>
      <c r="BA63" s="188"/>
      <c r="BB63" s="188"/>
      <c r="BC63" s="188"/>
      <c r="BD63" s="188"/>
      <c r="BE63" s="188"/>
      <c r="BF63" s="188"/>
      <c r="BG63" s="188"/>
      <c r="BH63" s="188"/>
      <c r="BI63" s="188"/>
      <c r="BJ63" s="188"/>
      <c r="BK63" s="188"/>
      <c r="BL63" s="188"/>
      <c r="BM63" s="188"/>
      <c r="BN63" s="188"/>
      <c r="BO63" s="188"/>
      <c r="BP63" s="188"/>
    </row>
    <row r="64" spans="1:68" x14ac:dyDescent="0.15">
      <c r="A64" s="188"/>
      <c r="B64" s="188"/>
      <c r="C64" s="188"/>
      <c r="D64" s="188"/>
      <c r="E64" s="188"/>
      <c r="F64" s="188"/>
      <c r="G64" s="188"/>
      <c r="H64" s="188"/>
      <c r="I64" s="188"/>
      <c r="J64" s="188"/>
      <c r="K64" s="188"/>
      <c r="L64" s="188"/>
      <c r="M64" s="188"/>
      <c r="N64" s="188"/>
      <c r="O64" s="188"/>
      <c r="P64" s="188"/>
      <c r="Q64" s="188"/>
      <c r="R64" s="188"/>
      <c r="S64" s="188"/>
      <c r="T64" s="188"/>
      <c r="U64" s="188"/>
      <c r="V64" s="188"/>
      <c r="W64" s="188"/>
      <c r="X64" s="188"/>
      <c r="Y64" s="188"/>
      <c r="Z64" s="188"/>
      <c r="AA64" s="188"/>
      <c r="AB64" s="188"/>
      <c r="AC64" s="188"/>
      <c r="AD64" s="188"/>
      <c r="AE64" s="188"/>
      <c r="AF64" s="188"/>
      <c r="AG64" s="188"/>
      <c r="AH64" s="188"/>
      <c r="AI64" s="188"/>
      <c r="AJ64" s="188"/>
      <c r="AK64" s="188"/>
      <c r="AL64" s="188"/>
      <c r="AM64" s="188"/>
      <c r="AN64" s="188"/>
      <c r="AO64" s="188"/>
      <c r="AP64" s="188"/>
      <c r="AQ64" s="188"/>
      <c r="AR64" s="188"/>
      <c r="AS64" s="188"/>
      <c r="AT64" s="188"/>
      <c r="AU64" s="188"/>
      <c r="AV64" s="188"/>
      <c r="AW64" s="188"/>
      <c r="AX64" s="188"/>
      <c r="AY64" s="188"/>
      <c r="AZ64" s="188"/>
      <c r="BA64" s="188"/>
      <c r="BB64" s="188"/>
      <c r="BC64" s="188"/>
      <c r="BD64" s="188"/>
      <c r="BE64" s="188"/>
      <c r="BF64" s="188"/>
      <c r="BG64" s="188"/>
      <c r="BH64" s="188"/>
      <c r="BI64" s="188"/>
      <c r="BJ64" s="188"/>
      <c r="BK64" s="188"/>
      <c r="BL64" s="188"/>
      <c r="BM64" s="188"/>
      <c r="BN64" s="188"/>
      <c r="BO64" s="188"/>
      <c r="BP64" s="188"/>
    </row>
    <row r="65" spans="1:68" x14ac:dyDescent="0.15">
      <c r="A65" s="188"/>
      <c r="B65" s="188"/>
      <c r="C65" s="188"/>
      <c r="D65" s="188"/>
      <c r="E65" s="188"/>
      <c r="F65" s="188"/>
      <c r="G65" s="188"/>
      <c r="H65" s="188"/>
      <c r="I65" s="188"/>
      <c r="J65" s="188"/>
      <c r="K65" s="188"/>
      <c r="L65" s="188"/>
      <c r="M65" s="188"/>
      <c r="N65" s="188"/>
      <c r="O65" s="188"/>
      <c r="P65" s="188"/>
      <c r="Q65" s="188"/>
      <c r="R65" s="188"/>
      <c r="S65" s="188"/>
      <c r="T65" s="188"/>
      <c r="U65" s="188"/>
      <c r="V65" s="188"/>
      <c r="W65" s="188"/>
      <c r="X65" s="188"/>
      <c r="Y65" s="188"/>
      <c r="Z65" s="188"/>
      <c r="AA65" s="188"/>
      <c r="AB65" s="188"/>
      <c r="AC65" s="188"/>
      <c r="AD65" s="188"/>
      <c r="AE65" s="188"/>
      <c r="AF65" s="188"/>
      <c r="AG65" s="188"/>
      <c r="AH65" s="188"/>
      <c r="AI65" s="188"/>
      <c r="AJ65" s="188"/>
      <c r="AK65" s="188"/>
      <c r="AL65" s="188"/>
      <c r="AM65" s="188"/>
      <c r="AN65" s="188"/>
      <c r="AO65" s="188"/>
      <c r="AP65" s="188"/>
      <c r="AQ65" s="188"/>
      <c r="AR65" s="188"/>
      <c r="AS65" s="188"/>
      <c r="AT65" s="188"/>
      <c r="AU65" s="188"/>
      <c r="AV65" s="188"/>
      <c r="AW65" s="188"/>
      <c r="AX65" s="188"/>
      <c r="AY65" s="188"/>
      <c r="AZ65" s="188"/>
      <c r="BA65" s="188"/>
      <c r="BB65" s="188"/>
      <c r="BC65" s="188"/>
      <c r="BD65" s="188"/>
      <c r="BE65" s="188"/>
      <c r="BF65" s="188"/>
      <c r="BG65" s="188"/>
      <c r="BH65" s="188"/>
      <c r="BI65" s="188"/>
      <c r="BJ65" s="188"/>
      <c r="BK65" s="188"/>
      <c r="BL65" s="188"/>
      <c r="BM65" s="188"/>
      <c r="BN65" s="188"/>
      <c r="BO65" s="188"/>
      <c r="BP65" s="188"/>
    </row>
    <row r="66" spans="1:68" x14ac:dyDescent="0.15">
      <c r="A66" s="188"/>
      <c r="B66" s="188"/>
      <c r="C66" s="188"/>
      <c r="D66" s="188"/>
      <c r="E66" s="188"/>
      <c r="F66" s="188"/>
      <c r="G66" s="188"/>
      <c r="H66" s="188"/>
      <c r="I66" s="188"/>
      <c r="J66" s="188"/>
      <c r="K66" s="188"/>
      <c r="L66" s="188"/>
      <c r="M66" s="188"/>
      <c r="N66" s="188"/>
      <c r="O66" s="188"/>
      <c r="P66" s="188"/>
      <c r="Q66" s="188"/>
      <c r="R66" s="188"/>
      <c r="S66" s="188"/>
      <c r="T66" s="188"/>
      <c r="U66" s="188"/>
      <c r="V66" s="188"/>
      <c r="W66" s="188"/>
      <c r="X66" s="188"/>
      <c r="Y66" s="188"/>
      <c r="Z66" s="188"/>
      <c r="AA66" s="188"/>
      <c r="AB66" s="188"/>
      <c r="AC66" s="188"/>
      <c r="AD66" s="188"/>
      <c r="AE66" s="188"/>
      <c r="AF66" s="188"/>
      <c r="AG66" s="188"/>
      <c r="AH66" s="188"/>
      <c r="AI66" s="188"/>
      <c r="AJ66" s="188"/>
      <c r="AK66" s="188"/>
      <c r="AL66" s="188"/>
      <c r="AM66" s="188"/>
      <c r="AN66" s="188"/>
      <c r="AO66" s="188"/>
      <c r="AP66" s="188"/>
      <c r="AQ66" s="188"/>
      <c r="AR66" s="188"/>
      <c r="AS66" s="188"/>
      <c r="AT66" s="188"/>
      <c r="AU66" s="188"/>
      <c r="AV66" s="188"/>
      <c r="AW66" s="188"/>
      <c r="AX66" s="188"/>
      <c r="AY66" s="188"/>
      <c r="AZ66" s="188"/>
      <c r="BA66" s="188"/>
      <c r="BB66" s="188"/>
      <c r="BC66" s="188"/>
      <c r="BD66" s="188"/>
      <c r="BE66" s="188"/>
      <c r="BF66" s="188"/>
      <c r="BG66" s="188"/>
      <c r="BH66" s="188"/>
      <c r="BI66" s="188"/>
      <c r="BJ66" s="188"/>
      <c r="BK66" s="188"/>
      <c r="BL66" s="188"/>
      <c r="BM66" s="188"/>
      <c r="BN66" s="188"/>
      <c r="BO66" s="188"/>
      <c r="BP66" s="188"/>
    </row>
    <row r="67" spans="1:68" x14ac:dyDescent="0.15">
      <c r="A67" s="188"/>
      <c r="B67" s="188"/>
      <c r="C67" s="188"/>
      <c r="D67" s="188"/>
      <c r="E67" s="188"/>
      <c r="F67" s="188"/>
      <c r="G67" s="188"/>
      <c r="H67" s="188"/>
      <c r="I67" s="188"/>
      <c r="J67" s="188"/>
      <c r="K67" s="188"/>
      <c r="L67" s="188"/>
      <c r="M67" s="188"/>
      <c r="N67" s="188"/>
      <c r="O67" s="188"/>
      <c r="P67" s="188"/>
      <c r="Q67" s="188"/>
      <c r="R67" s="188"/>
      <c r="S67" s="188"/>
      <c r="T67" s="188"/>
      <c r="U67" s="188"/>
      <c r="V67" s="188"/>
      <c r="W67" s="188"/>
      <c r="X67" s="188"/>
      <c r="Y67" s="188"/>
      <c r="Z67" s="188"/>
      <c r="AA67" s="188"/>
      <c r="AB67" s="188"/>
      <c r="AC67" s="188"/>
      <c r="AD67" s="188"/>
      <c r="AE67" s="188"/>
      <c r="AF67" s="188"/>
      <c r="AG67" s="188"/>
      <c r="AH67" s="188"/>
      <c r="AI67" s="188"/>
      <c r="AJ67" s="188"/>
      <c r="AK67" s="188"/>
      <c r="AL67" s="188"/>
      <c r="AM67" s="188"/>
      <c r="AN67" s="188"/>
      <c r="AO67" s="188"/>
      <c r="AP67" s="188"/>
      <c r="AQ67" s="188"/>
      <c r="AR67" s="188"/>
      <c r="AS67" s="188"/>
      <c r="AT67" s="188"/>
      <c r="AU67" s="188"/>
      <c r="AV67" s="188"/>
      <c r="AW67" s="188"/>
      <c r="AX67" s="188"/>
      <c r="AY67" s="188"/>
      <c r="AZ67" s="188"/>
      <c r="BA67" s="188"/>
      <c r="BB67" s="188"/>
      <c r="BC67" s="188"/>
      <c r="BD67" s="188"/>
      <c r="BE67" s="188"/>
      <c r="BF67" s="188"/>
      <c r="BG67" s="188"/>
      <c r="BH67" s="188"/>
      <c r="BI67" s="188"/>
      <c r="BJ67" s="188"/>
      <c r="BK67" s="188"/>
      <c r="BL67" s="188"/>
      <c r="BM67" s="188"/>
      <c r="BN67" s="188"/>
      <c r="BO67" s="188"/>
      <c r="BP67" s="188"/>
    </row>
    <row r="68" spans="1:68" x14ac:dyDescent="0.15">
      <c r="A68" s="188"/>
      <c r="B68" s="188"/>
      <c r="C68" s="188"/>
      <c r="D68" s="188"/>
      <c r="E68" s="188"/>
      <c r="F68" s="188"/>
      <c r="G68" s="188"/>
      <c r="H68" s="188"/>
      <c r="I68" s="188"/>
      <c r="J68" s="188"/>
      <c r="K68" s="188"/>
      <c r="L68" s="188"/>
      <c r="M68" s="188"/>
      <c r="N68" s="188"/>
      <c r="O68" s="188"/>
      <c r="P68" s="188"/>
      <c r="Q68" s="188"/>
      <c r="R68" s="188"/>
      <c r="S68" s="188"/>
      <c r="T68" s="188"/>
      <c r="U68" s="188"/>
      <c r="V68" s="188"/>
      <c r="W68" s="188"/>
      <c r="X68" s="188"/>
      <c r="Y68" s="188"/>
      <c r="Z68" s="188"/>
      <c r="AA68" s="188"/>
      <c r="AB68" s="188"/>
      <c r="AC68" s="188"/>
      <c r="AD68" s="188"/>
      <c r="AE68" s="188"/>
      <c r="AF68" s="188"/>
      <c r="AG68" s="188"/>
      <c r="AH68" s="188"/>
      <c r="AI68" s="188"/>
      <c r="AJ68" s="188"/>
      <c r="AK68" s="188"/>
      <c r="AL68" s="188"/>
      <c r="AM68" s="188"/>
      <c r="AN68" s="188"/>
      <c r="AO68" s="188"/>
      <c r="AP68" s="188"/>
      <c r="AQ68" s="188"/>
      <c r="AR68" s="188"/>
      <c r="AS68" s="188"/>
      <c r="AT68" s="188"/>
      <c r="AU68" s="188"/>
      <c r="AV68" s="188"/>
      <c r="AW68" s="188"/>
      <c r="AX68" s="188"/>
      <c r="AY68" s="188"/>
      <c r="AZ68" s="188"/>
      <c r="BA68" s="188"/>
      <c r="BB68" s="188"/>
      <c r="BC68" s="188"/>
      <c r="BD68" s="188"/>
      <c r="BE68" s="188"/>
      <c r="BF68" s="188"/>
      <c r="BG68" s="188"/>
      <c r="BH68" s="188"/>
      <c r="BI68" s="188"/>
      <c r="BJ68" s="188"/>
      <c r="BK68" s="188"/>
      <c r="BL68" s="188"/>
      <c r="BM68" s="188"/>
      <c r="BN68" s="188"/>
      <c r="BO68" s="188"/>
      <c r="BP68" s="188"/>
    </row>
    <row r="69" spans="1:68" x14ac:dyDescent="0.15">
      <c r="A69" s="188"/>
      <c r="B69" s="188"/>
      <c r="C69" s="188"/>
      <c r="D69" s="188"/>
      <c r="E69" s="188"/>
      <c r="F69" s="188"/>
      <c r="G69" s="188"/>
      <c r="H69" s="188"/>
      <c r="I69" s="188"/>
      <c r="J69" s="188"/>
      <c r="K69" s="188"/>
      <c r="L69" s="188"/>
      <c r="M69" s="188"/>
      <c r="N69" s="188"/>
      <c r="O69" s="188"/>
      <c r="P69" s="188"/>
      <c r="Q69" s="188"/>
      <c r="R69" s="188"/>
      <c r="S69" s="188"/>
      <c r="T69" s="188"/>
      <c r="U69" s="188"/>
      <c r="V69" s="188"/>
      <c r="W69" s="188"/>
      <c r="X69" s="188"/>
      <c r="Y69" s="188"/>
      <c r="Z69" s="188"/>
      <c r="AA69" s="188"/>
      <c r="AB69" s="188"/>
      <c r="AC69" s="188"/>
      <c r="AD69" s="188"/>
      <c r="AE69" s="188"/>
      <c r="AF69" s="188"/>
      <c r="AG69" s="188"/>
      <c r="AH69" s="188"/>
      <c r="AI69" s="188"/>
      <c r="AJ69" s="188"/>
      <c r="AK69" s="188"/>
      <c r="AL69" s="188"/>
      <c r="AM69" s="188"/>
      <c r="AN69" s="188"/>
      <c r="AO69" s="188"/>
      <c r="AP69" s="188"/>
      <c r="AQ69" s="188"/>
      <c r="AR69" s="188"/>
      <c r="AS69" s="188"/>
      <c r="AT69" s="188"/>
      <c r="AU69" s="188"/>
      <c r="AV69" s="188"/>
      <c r="AW69" s="188"/>
      <c r="AX69" s="188"/>
      <c r="AY69" s="188"/>
      <c r="AZ69" s="188"/>
      <c r="BA69" s="188"/>
      <c r="BB69" s="188"/>
      <c r="BC69" s="188"/>
      <c r="BD69" s="188"/>
      <c r="BE69" s="188"/>
      <c r="BF69" s="188"/>
      <c r="BG69" s="188"/>
      <c r="BH69" s="188"/>
      <c r="BI69" s="188"/>
      <c r="BJ69" s="188"/>
      <c r="BK69" s="188"/>
      <c r="BL69" s="188"/>
      <c r="BM69" s="188"/>
      <c r="BN69" s="188"/>
      <c r="BO69" s="188"/>
    </row>
  </sheetData>
  <mergeCells count="1">
    <mergeCell ref="B39:AL41"/>
  </mergeCells>
  <phoneticPr fontId="0" type="noConversion"/>
  <printOptions gridLinesSet="0"/>
  <pageMargins left="0" right="0" top="0" bottom="0" header="0.5" footer="0.5"/>
  <pageSetup paperSize="0" fitToHeight="0" orientation="landscape" horizontalDpi="0" verticalDpi="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6DB7-6C8E-49FC-87A8-E5B2AF6E2B3B}">
  <sheetPr>
    <outlinePr summaryBelow="0" summaryRight="0"/>
    <pageSetUpPr autoPageBreaks="0" fitToPage="1"/>
  </sheetPr>
  <dimension ref="A1:AX100"/>
  <sheetViews>
    <sheetView showGridLines="0" zoomScaleNormal="100" zoomScaleSheetLayoutView="100" workbookViewId="0"/>
  </sheetViews>
  <sheetFormatPr defaultRowHeight="12.75" x14ac:dyDescent="0.15"/>
  <cols>
    <col min="1" max="1" width="4.3125" customWidth="1"/>
    <col min="2" max="2" width="3.37109375" customWidth="1"/>
    <col min="3" max="3" width="6.875" customWidth="1"/>
    <col min="4" max="4" width="9.16796875" customWidth="1"/>
    <col min="5" max="5" width="38.97265625" customWidth="1"/>
    <col min="6" max="6" width="24.67578125" customWidth="1"/>
    <col min="7" max="11" width="9.16796875" customWidth="1"/>
    <col min="12" max="12" width="18.33984375" customWidth="1"/>
    <col min="13" max="50" width="9.16796875" customWidth="1"/>
  </cols>
  <sheetData>
    <row r="1" spans="1:50" ht="15" customHeight="1" x14ac:dyDescent="0.2">
      <c r="A1" s="122"/>
      <c r="B1" s="122" t="s">
        <v>627</v>
      </c>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row>
    <row r="2" spans="1:50" ht="84" customHeight="1" x14ac:dyDescent="0.25">
      <c r="A2" s="122"/>
      <c r="B2" s="123"/>
      <c r="C2" s="124"/>
      <c r="D2" s="122"/>
      <c r="E2" s="122"/>
      <c r="F2" s="122"/>
      <c r="G2" s="122"/>
      <c r="H2" s="122"/>
      <c r="I2" s="122"/>
      <c r="J2" s="122"/>
      <c r="K2" s="125"/>
      <c r="L2" s="122"/>
      <c r="M2" s="125"/>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22"/>
      <c r="AX2" s="122"/>
    </row>
    <row r="3" spans="1:50" ht="15" customHeight="1" x14ac:dyDescent="0.25">
      <c r="A3" s="122"/>
      <c r="B3" s="123"/>
      <c r="C3" s="122"/>
      <c r="D3" s="122"/>
      <c r="E3" s="122"/>
      <c r="F3" s="122"/>
      <c r="G3" s="122"/>
      <c r="H3" s="122"/>
      <c r="I3" s="122"/>
      <c r="J3" s="122"/>
      <c r="K3" s="122"/>
      <c r="L3" s="122"/>
      <c r="M3" s="122"/>
      <c r="N3" s="122"/>
      <c r="O3" s="122"/>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row>
    <row r="4" spans="1:50" ht="15" customHeight="1" x14ac:dyDescent="0.2">
      <c r="A4" s="126" t="s">
        <v>628</v>
      </c>
      <c r="B4" s="127"/>
      <c r="C4" s="127"/>
      <c r="D4" s="127"/>
      <c r="E4" s="127"/>
      <c r="F4" s="127"/>
      <c r="G4" s="127"/>
      <c r="H4" s="127"/>
      <c r="I4" s="127"/>
      <c r="J4" s="127"/>
      <c r="K4" s="127"/>
      <c r="L4" s="122"/>
      <c r="M4" s="122"/>
      <c r="N4" s="122"/>
      <c r="O4" s="122"/>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row>
    <row r="5" spans="1:50" ht="15" customHeight="1" x14ac:dyDescent="0.2">
      <c r="A5" s="218" t="str">
        <f>HYPERLINK("http://www.str.com/data-insights/resources/glossary", "For all STR definitions, please visit www.str.com/data-insights/resources/glossary")</f>
        <v>For all STR definitions, please visit www.str.com/data-insights/resources/glossary</v>
      </c>
      <c r="B5" s="218"/>
      <c r="C5" s="218"/>
      <c r="D5" s="218"/>
      <c r="E5" s="218"/>
      <c r="F5" s="218"/>
      <c r="G5" s="127"/>
      <c r="H5" s="127"/>
      <c r="I5" s="127"/>
      <c r="J5" s="127"/>
      <c r="K5" s="127"/>
      <c r="L5" s="122"/>
      <c r="M5" s="122"/>
      <c r="N5" s="122"/>
      <c r="O5" s="122"/>
      <c r="P5" s="122"/>
      <c r="Q5" s="122"/>
      <c r="R5" s="122"/>
      <c r="S5" s="122"/>
      <c r="T5" s="122"/>
      <c r="U5" s="122"/>
      <c r="V5" s="122"/>
      <c r="W5" s="122"/>
      <c r="X5" s="122"/>
      <c r="Y5" s="122"/>
      <c r="Z5" s="122"/>
      <c r="AA5" s="122"/>
      <c r="AB5" s="122"/>
      <c r="AC5" s="122"/>
      <c r="AD5" s="122"/>
      <c r="AE5" s="122"/>
      <c r="AF5" s="122"/>
      <c r="AG5" s="122"/>
      <c r="AH5" s="122"/>
      <c r="AI5" s="122"/>
      <c r="AJ5" s="122"/>
      <c r="AK5" s="122"/>
      <c r="AL5" s="122"/>
      <c r="AM5" s="122"/>
      <c r="AN5" s="122"/>
      <c r="AO5" s="122"/>
      <c r="AP5" s="122"/>
      <c r="AQ5" s="122"/>
      <c r="AR5" s="122"/>
      <c r="AS5" s="122"/>
      <c r="AT5" s="122"/>
      <c r="AU5" s="122"/>
      <c r="AV5" s="122"/>
      <c r="AW5" s="122"/>
      <c r="AX5" s="122"/>
    </row>
    <row r="6" spans="1:50" ht="15" customHeight="1" x14ac:dyDescent="0.2">
      <c r="A6" s="127"/>
      <c r="B6" s="127"/>
      <c r="C6" s="127"/>
      <c r="D6" s="127"/>
      <c r="E6" s="127"/>
      <c r="F6" s="127"/>
      <c r="G6" s="127"/>
      <c r="H6" s="127"/>
      <c r="I6" s="127"/>
      <c r="J6" s="127"/>
      <c r="K6" s="127"/>
      <c r="L6" s="122"/>
      <c r="M6" s="122"/>
      <c r="N6" s="122"/>
      <c r="O6" s="122"/>
      <c r="P6" s="122"/>
      <c r="Q6" s="122"/>
      <c r="R6" s="122"/>
      <c r="S6" s="122"/>
      <c r="T6" s="122"/>
      <c r="U6" s="122"/>
      <c r="V6" s="122"/>
      <c r="W6" s="122"/>
      <c r="X6" s="122"/>
      <c r="Y6" s="122"/>
      <c r="Z6" s="122"/>
      <c r="AA6" s="122"/>
      <c r="AB6" s="122"/>
      <c r="AC6" s="122"/>
      <c r="AD6" s="122"/>
      <c r="AE6" s="122"/>
      <c r="AF6" s="122"/>
      <c r="AG6" s="122"/>
      <c r="AH6" s="122"/>
      <c r="AI6" s="122"/>
      <c r="AJ6" s="122"/>
      <c r="AK6" s="122"/>
      <c r="AL6" s="122"/>
      <c r="AM6" s="122"/>
      <c r="AN6" s="122"/>
      <c r="AO6" s="122"/>
      <c r="AP6" s="122"/>
      <c r="AQ6" s="122"/>
      <c r="AR6" s="122"/>
      <c r="AS6" s="122"/>
      <c r="AT6" s="122"/>
      <c r="AU6" s="122"/>
      <c r="AV6" s="122"/>
      <c r="AW6" s="122"/>
      <c r="AX6" s="122"/>
    </row>
    <row r="7" spans="1:50" ht="15" customHeight="1" x14ac:dyDescent="0.2">
      <c r="A7" s="127"/>
      <c r="B7" s="127"/>
      <c r="C7" s="127"/>
      <c r="D7" s="127"/>
      <c r="E7" s="127"/>
      <c r="F7" s="127"/>
      <c r="G7" s="127"/>
      <c r="H7" s="127"/>
      <c r="I7" s="127"/>
      <c r="J7" s="127"/>
      <c r="K7" s="127"/>
      <c r="L7" s="122"/>
      <c r="M7" s="122"/>
      <c r="N7" s="122"/>
      <c r="O7" s="122"/>
      <c r="P7" s="122"/>
      <c r="Q7" s="122"/>
      <c r="R7" s="122"/>
      <c r="S7" s="122"/>
      <c r="T7" s="122"/>
      <c r="U7" s="122"/>
      <c r="V7" s="122"/>
      <c r="W7" s="122"/>
      <c r="X7" s="122"/>
      <c r="Y7" s="122"/>
      <c r="Z7" s="122"/>
      <c r="AA7" s="122"/>
      <c r="AB7" s="122"/>
      <c r="AC7" s="122"/>
      <c r="AD7" s="122"/>
      <c r="AE7" s="122"/>
      <c r="AF7" s="122"/>
      <c r="AG7" s="122"/>
      <c r="AH7" s="122"/>
      <c r="AI7" s="122"/>
      <c r="AJ7" s="122"/>
      <c r="AK7" s="122"/>
      <c r="AL7" s="122"/>
      <c r="AM7" s="122"/>
      <c r="AN7" s="122"/>
      <c r="AO7" s="122"/>
      <c r="AP7" s="122"/>
      <c r="AQ7" s="122"/>
      <c r="AR7" s="122"/>
      <c r="AS7" s="122"/>
      <c r="AT7" s="122"/>
      <c r="AU7" s="122"/>
      <c r="AV7" s="122"/>
      <c r="AW7" s="122"/>
      <c r="AX7" s="122"/>
    </row>
    <row r="8" spans="1:50" ht="15" customHeight="1" x14ac:dyDescent="0.2">
      <c r="A8" s="126" t="s">
        <v>629</v>
      </c>
      <c r="B8" s="127"/>
      <c r="C8" s="127"/>
      <c r="D8" s="127"/>
      <c r="E8" s="127"/>
      <c r="F8" s="127"/>
      <c r="G8" s="127"/>
      <c r="H8" s="127"/>
      <c r="I8" s="127"/>
      <c r="J8" s="127"/>
      <c r="K8" s="127"/>
      <c r="L8" s="122"/>
      <c r="M8" s="122"/>
      <c r="N8" s="122"/>
      <c r="O8" s="122"/>
      <c r="P8" s="122"/>
      <c r="Q8" s="122"/>
      <c r="R8" s="122"/>
      <c r="S8" s="122"/>
      <c r="T8" s="122"/>
      <c r="U8" s="122"/>
      <c r="V8" s="122"/>
      <c r="W8" s="122"/>
      <c r="X8" s="122"/>
      <c r="Y8" s="122"/>
      <c r="Z8" s="12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row>
    <row r="9" spans="1:50" ht="15" customHeight="1" x14ac:dyDescent="0.2">
      <c r="A9" s="218" t="str">
        <f>HYPERLINK("http://www.str.com/data-insights/resources/FAQ", "For all STR FAQs, please click here or visit http://www.str.com/data-insights/resources/FAQ")</f>
        <v>For all STR FAQs, please click here or visit http://www.str.com/data-insights/resources/FAQ</v>
      </c>
      <c r="B9" s="218"/>
      <c r="C9" s="218"/>
      <c r="D9" s="218"/>
      <c r="E9" s="218"/>
      <c r="F9" s="218"/>
      <c r="G9" s="127"/>
      <c r="H9" s="127"/>
      <c r="I9" s="127"/>
      <c r="J9" s="127"/>
      <c r="K9" s="127"/>
      <c r="L9" s="122"/>
      <c r="M9" s="122"/>
      <c r="N9" s="122"/>
      <c r="O9" s="122"/>
      <c r="P9" s="122"/>
      <c r="Q9" s="122"/>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row>
    <row r="10" spans="1:50" ht="15" customHeight="1" x14ac:dyDescent="0.2">
      <c r="A10" s="127"/>
      <c r="B10" s="127"/>
      <c r="C10" s="127"/>
      <c r="D10" s="127"/>
      <c r="E10" s="127"/>
      <c r="F10" s="127"/>
      <c r="G10" s="127"/>
      <c r="H10" s="127"/>
      <c r="I10" s="127"/>
      <c r="J10" s="127"/>
      <c r="K10" s="127"/>
      <c r="L10" s="122"/>
      <c r="M10" s="122"/>
      <c r="N10" s="122"/>
      <c r="O10" s="122"/>
      <c r="P10" s="122"/>
      <c r="Q10" s="122"/>
      <c r="R10" s="122"/>
      <c r="S10" s="122"/>
      <c r="T10" s="122"/>
      <c r="U10" s="122"/>
      <c r="V10" s="122"/>
      <c r="W10" s="122"/>
      <c r="X10" s="122"/>
      <c r="Y10" s="122"/>
      <c r="Z10" s="122"/>
      <c r="AA10" s="122"/>
      <c r="AB10" s="122"/>
      <c r="AC10" s="122"/>
      <c r="AD10" s="122"/>
      <c r="AE10" s="122"/>
      <c r="AF10" s="122"/>
      <c r="AG10" s="122"/>
      <c r="AH10" s="122"/>
      <c r="AI10" s="122"/>
      <c r="AJ10" s="122"/>
      <c r="AK10" s="122"/>
      <c r="AL10" s="122"/>
      <c r="AM10" s="122"/>
      <c r="AN10" s="122"/>
      <c r="AO10" s="122"/>
      <c r="AP10" s="122"/>
      <c r="AQ10" s="122"/>
      <c r="AR10" s="122"/>
      <c r="AS10" s="122"/>
      <c r="AT10" s="122"/>
      <c r="AU10" s="122"/>
      <c r="AV10" s="122"/>
      <c r="AW10" s="122"/>
      <c r="AX10" s="122"/>
    </row>
    <row r="11" spans="1:50" ht="15" customHeight="1" x14ac:dyDescent="0.2">
      <c r="A11" s="127"/>
      <c r="B11" s="127"/>
      <c r="C11" s="127"/>
      <c r="D11" s="127"/>
      <c r="E11" s="127"/>
      <c r="F11" s="127"/>
      <c r="G11" s="127"/>
      <c r="H11" s="127"/>
      <c r="I11" s="127"/>
      <c r="J11" s="127"/>
      <c r="K11" s="127"/>
      <c r="L11" s="122"/>
      <c r="M11" s="122"/>
      <c r="N11" s="122"/>
      <c r="O11" s="122"/>
      <c r="P11" s="122"/>
      <c r="Q11" s="122"/>
      <c r="R11" s="122"/>
      <c r="S11" s="122"/>
      <c r="T11" s="122"/>
      <c r="U11" s="122"/>
      <c r="V11" s="122"/>
      <c r="W11" s="122"/>
      <c r="X11" s="122"/>
      <c r="Y11" s="122"/>
      <c r="Z11" s="122"/>
      <c r="AA11" s="122"/>
      <c r="AB11" s="122"/>
      <c r="AC11" s="122"/>
      <c r="AD11" s="122"/>
      <c r="AE11" s="122"/>
      <c r="AF11" s="122"/>
      <c r="AG11" s="122"/>
      <c r="AH11" s="122"/>
      <c r="AI11" s="122"/>
      <c r="AJ11" s="122"/>
      <c r="AK11" s="122"/>
      <c r="AL11" s="122"/>
      <c r="AM11" s="122"/>
      <c r="AN11" s="122"/>
      <c r="AO11" s="122"/>
      <c r="AP11" s="122"/>
      <c r="AQ11" s="122"/>
      <c r="AR11" s="122"/>
      <c r="AS11" s="122"/>
      <c r="AT11" s="122"/>
      <c r="AU11" s="122"/>
      <c r="AV11" s="122"/>
      <c r="AW11" s="122"/>
      <c r="AX11" s="122"/>
    </row>
    <row r="12" spans="1:50" ht="15" customHeight="1" x14ac:dyDescent="0.2">
      <c r="A12" s="218" t="str">
        <f>HYPERLINK("http://www.str.com/contact", "For additional support, please contact your regional office")</f>
        <v>For additional support, please contact your regional office</v>
      </c>
      <c r="B12" s="218"/>
      <c r="C12" s="218"/>
      <c r="D12" s="218"/>
      <c r="E12" s="218"/>
      <c r="F12" s="218"/>
      <c r="G12" s="218"/>
      <c r="H12" s="218"/>
      <c r="I12" s="218"/>
      <c r="J12" s="218"/>
      <c r="K12" s="127"/>
      <c r="L12" s="122"/>
      <c r="M12" s="122"/>
      <c r="N12" s="122"/>
      <c r="O12" s="122"/>
      <c r="P12" s="122"/>
      <c r="Q12" s="122"/>
      <c r="R12" s="122"/>
      <c r="S12" s="122"/>
      <c r="T12" s="122"/>
      <c r="U12" s="122"/>
      <c r="V12" s="122"/>
      <c r="W12" s="122"/>
      <c r="X12" s="122"/>
      <c r="Y12" s="122"/>
      <c r="Z12" s="122"/>
      <c r="AA12" s="122"/>
      <c r="AB12" s="122"/>
      <c r="AC12" s="122"/>
      <c r="AD12" s="122"/>
      <c r="AE12" s="122"/>
      <c r="AF12" s="122"/>
      <c r="AG12" s="122"/>
      <c r="AH12" s="122"/>
      <c r="AI12" s="122"/>
      <c r="AJ12" s="122"/>
      <c r="AK12" s="122"/>
      <c r="AL12" s="122"/>
      <c r="AM12" s="122"/>
      <c r="AN12" s="122"/>
      <c r="AO12" s="122"/>
      <c r="AP12" s="122"/>
      <c r="AQ12" s="122"/>
      <c r="AR12" s="122"/>
      <c r="AS12" s="122"/>
      <c r="AT12" s="122"/>
      <c r="AU12" s="122"/>
      <c r="AV12" s="122"/>
      <c r="AW12" s="122"/>
      <c r="AX12" s="122"/>
    </row>
    <row r="13" spans="1:50" ht="15" customHeight="1" x14ac:dyDescent="0.2">
      <c r="A13" s="127"/>
      <c r="B13" s="127"/>
      <c r="C13" s="127"/>
      <c r="D13" s="127"/>
      <c r="E13" s="127"/>
      <c r="F13" s="127"/>
      <c r="G13" s="127"/>
      <c r="H13" s="127"/>
      <c r="I13" s="127"/>
      <c r="J13" s="127"/>
      <c r="K13" s="127"/>
      <c r="L13" s="122"/>
      <c r="M13" s="122"/>
      <c r="N13" s="122"/>
      <c r="O13" s="122"/>
      <c r="P13" s="122"/>
      <c r="Q13" s="122"/>
      <c r="R13" s="122"/>
      <c r="S13" s="122"/>
      <c r="T13" s="122"/>
      <c r="U13" s="122"/>
      <c r="V13" s="122"/>
      <c r="W13" s="122"/>
      <c r="X13" s="122"/>
      <c r="Y13" s="122"/>
      <c r="Z13" s="122"/>
      <c r="AA13" s="122"/>
      <c r="AB13" s="122"/>
      <c r="AC13" s="122"/>
      <c r="AD13" s="122"/>
      <c r="AE13" s="122"/>
      <c r="AF13" s="122"/>
      <c r="AG13" s="122"/>
      <c r="AH13" s="122"/>
      <c r="AI13" s="122"/>
      <c r="AJ13" s="122"/>
      <c r="AK13" s="122"/>
      <c r="AL13" s="122"/>
      <c r="AM13" s="122"/>
      <c r="AN13" s="122"/>
      <c r="AO13" s="122"/>
      <c r="AP13" s="122"/>
      <c r="AQ13" s="122"/>
      <c r="AR13" s="122"/>
      <c r="AS13" s="122"/>
      <c r="AT13" s="122"/>
      <c r="AU13" s="122"/>
      <c r="AV13" s="122"/>
      <c r="AW13" s="122"/>
      <c r="AX13" s="122"/>
    </row>
    <row r="14" spans="1:50" ht="16.5" customHeight="1" x14ac:dyDescent="0.2">
      <c r="A14" s="219" t="str">
        <f>HYPERLINK("http://www.hotelnewsnow.com/", "For the latest in industry news, visit HotelNewsNow.com.")</f>
        <v>For the latest in industry news, visit HotelNewsNow.com.</v>
      </c>
      <c r="B14" s="219"/>
      <c r="C14" s="219"/>
      <c r="D14" s="219"/>
      <c r="E14" s="219"/>
      <c r="F14" s="219"/>
      <c r="G14" s="219"/>
      <c r="H14" s="219"/>
      <c r="I14" s="219"/>
      <c r="J14" s="128"/>
      <c r="K14" s="127"/>
      <c r="L14" s="122"/>
      <c r="M14" s="122"/>
      <c r="N14" s="122"/>
      <c r="O14" s="122"/>
      <c r="P14" s="122"/>
      <c r="Q14" s="122"/>
      <c r="R14" s="122"/>
      <c r="S14" s="122"/>
      <c r="T14" s="122"/>
      <c r="U14" s="122"/>
      <c r="V14" s="122"/>
      <c r="W14" s="122"/>
      <c r="X14" s="122"/>
      <c r="Y14" s="122"/>
      <c r="Z14" s="122"/>
      <c r="AA14" s="122"/>
      <c r="AB14" s="122"/>
      <c r="AC14" s="122"/>
      <c r="AD14" s="122"/>
      <c r="AE14" s="122"/>
      <c r="AF14" s="122"/>
      <c r="AG14" s="122"/>
      <c r="AH14" s="122"/>
      <c r="AI14" s="122"/>
      <c r="AJ14" s="122"/>
      <c r="AK14" s="122"/>
      <c r="AL14" s="122"/>
      <c r="AM14" s="122"/>
      <c r="AN14" s="122"/>
      <c r="AO14" s="122"/>
      <c r="AP14" s="122"/>
      <c r="AQ14" s="122"/>
      <c r="AR14" s="122"/>
      <c r="AS14" s="122"/>
      <c r="AT14" s="122"/>
      <c r="AU14" s="122"/>
      <c r="AV14" s="122"/>
      <c r="AW14" s="122"/>
      <c r="AX14" s="122"/>
    </row>
    <row r="15" spans="1:50" ht="15" customHeight="1" x14ac:dyDescent="0.2">
      <c r="A15" s="219" t="str">
        <f>HYPERLINK("http://www.hoteldataconference.com/", "To learn more about the Hotel Data Conference, visit HotelDataConference.com.")</f>
        <v>To learn more about the Hotel Data Conference, visit HotelDataConference.com.</v>
      </c>
      <c r="B15" s="219"/>
      <c r="C15" s="219"/>
      <c r="D15" s="219"/>
      <c r="E15" s="219"/>
      <c r="F15" s="219"/>
      <c r="G15" s="219"/>
      <c r="H15" s="219"/>
      <c r="I15" s="219"/>
      <c r="J15" s="128"/>
      <c r="K15" s="128"/>
      <c r="L15" s="128"/>
      <c r="M15" s="122"/>
      <c r="N15" s="122"/>
      <c r="O15" s="122"/>
      <c r="P15" s="122"/>
      <c r="Q15" s="122"/>
      <c r="R15" s="122"/>
      <c r="S15" s="122"/>
      <c r="T15" s="122"/>
      <c r="U15" s="122"/>
      <c r="V15" s="122"/>
      <c r="W15" s="122"/>
      <c r="X15" s="122"/>
      <c r="Y15" s="122"/>
      <c r="Z15" s="122"/>
      <c r="AA15" s="122"/>
      <c r="AB15" s="122"/>
      <c r="AC15" s="122"/>
      <c r="AD15" s="122"/>
      <c r="AE15" s="122"/>
      <c r="AF15" s="122"/>
      <c r="AG15" s="122"/>
      <c r="AH15" s="122"/>
      <c r="AI15" s="122"/>
      <c r="AJ15" s="122"/>
      <c r="AK15" s="122"/>
      <c r="AL15" s="122"/>
      <c r="AM15" s="122"/>
      <c r="AN15" s="122"/>
      <c r="AO15" s="122"/>
      <c r="AP15" s="122"/>
      <c r="AQ15" s="122"/>
      <c r="AR15" s="122"/>
      <c r="AS15" s="122"/>
      <c r="AT15" s="122"/>
      <c r="AU15" s="122"/>
      <c r="AV15" s="122"/>
      <c r="AW15" s="122"/>
      <c r="AX15" s="122"/>
    </row>
    <row r="16" spans="1:50" ht="15" customHeight="1" x14ac:dyDescent="0.2">
      <c r="A16" s="122"/>
      <c r="B16" s="122"/>
      <c r="C16" s="129"/>
      <c r="D16" s="129"/>
      <c r="E16" s="129"/>
      <c r="F16" s="129"/>
      <c r="G16" s="129"/>
      <c r="H16" s="129"/>
      <c r="I16" s="129"/>
      <c r="J16" s="129"/>
      <c r="K16" s="129"/>
      <c r="L16" s="129"/>
      <c r="M16" s="122"/>
      <c r="N16" s="122"/>
      <c r="O16" s="122"/>
      <c r="P16" s="122"/>
      <c r="Q16" s="122"/>
      <c r="R16" s="122"/>
      <c r="S16" s="122"/>
      <c r="T16" s="122"/>
      <c r="U16" s="122"/>
      <c r="V16" s="122"/>
      <c r="W16" s="122"/>
      <c r="X16" s="122"/>
      <c r="Y16" s="122"/>
      <c r="Z16" s="122"/>
      <c r="AA16" s="122"/>
      <c r="AB16" s="122"/>
      <c r="AC16" s="122"/>
      <c r="AD16" s="122"/>
      <c r="AE16" s="122"/>
      <c r="AF16" s="122"/>
      <c r="AG16" s="122"/>
      <c r="AH16" s="122"/>
      <c r="AI16" s="122"/>
      <c r="AJ16" s="122"/>
      <c r="AK16" s="122"/>
      <c r="AL16" s="122"/>
      <c r="AM16" s="122"/>
      <c r="AN16" s="122"/>
      <c r="AO16" s="122"/>
      <c r="AP16" s="122"/>
      <c r="AQ16" s="122"/>
      <c r="AR16" s="122"/>
      <c r="AS16" s="122"/>
      <c r="AT16" s="122"/>
      <c r="AU16" s="122"/>
      <c r="AV16" s="122"/>
      <c r="AW16" s="122"/>
      <c r="AX16" s="122"/>
    </row>
    <row r="17" spans="1:50" ht="15" customHeight="1" x14ac:dyDescent="0.2">
      <c r="A17" s="122"/>
      <c r="B17" s="122"/>
      <c r="C17" s="122"/>
      <c r="D17" s="122"/>
      <c r="E17" s="122"/>
      <c r="F17" s="122"/>
      <c r="G17" s="122"/>
      <c r="H17" s="122"/>
      <c r="I17" s="122"/>
      <c r="J17" s="122"/>
      <c r="K17" s="122"/>
      <c r="L17" s="122"/>
      <c r="M17" s="122"/>
      <c r="N17" s="122"/>
      <c r="O17" s="122"/>
      <c r="P17" s="122"/>
      <c r="Q17" s="122"/>
      <c r="R17" s="122"/>
      <c r="S17" s="122"/>
      <c r="T17" s="122"/>
      <c r="U17" s="122"/>
      <c r="V17" s="122"/>
      <c r="W17" s="122"/>
      <c r="X17" s="122"/>
      <c r="Y17" s="122"/>
      <c r="Z17" s="122"/>
      <c r="AA17" s="122"/>
      <c r="AB17" s="122"/>
      <c r="AC17" s="122"/>
      <c r="AD17" s="122"/>
      <c r="AE17" s="122"/>
      <c r="AF17" s="122"/>
      <c r="AG17" s="122"/>
      <c r="AH17" s="122"/>
      <c r="AI17" s="122"/>
      <c r="AJ17" s="122"/>
      <c r="AK17" s="122"/>
      <c r="AL17" s="122"/>
      <c r="AM17" s="122"/>
      <c r="AN17" s="122"/>
      <c r="AO17" s="122"/>
      <c r="AP17" s="122"/>
      <c r="AQ17" s="122"/>
      <c r="AR17" s="122"/>
      <c r="AS17" s="122"/>
      <c r="AT17" s="122"/>
      <c r="AU17" s="122"/>
      <c r="AV17" s="122"/>
      <c r="AW17" s="122"/>
      <c r="AX17" s="122"/>
    </row>
    <row r="18" spans="1:50" ht="15" customHeight="1" x14ac:dyDescent="0.2">
      <c r="A18" s="122"/>
      <c r="B18" s="122"/>
      <c r="C18" s="122"/>
      <c r="D18" s="122"/>
      <c r="E18" s="122"/>
      <c r="F18" s="122"/>
      <c r="G18" s="122"/>
      <c r="H18" s="122"/>
      <c r="I18" s="122"/>
      <c r="J18" s="122"/>
      <c r="K18" s="122"/>
      <c r="L18" s="122"/>
      <c r="M18" s="122"/>
      <c r="N18" s="122"/>
      <c r="O18" s="122"/>
      <c r="P18" s="122"/>
      <c r="Q18" s="122"/>
      <c r="R18" s="122"/>
      <c r="S18" s="122"/>
      <c r="T18" s="122"/>
      <c r="U18" s="122"/>
      <c r="V18" s="122"/>
      <c r="W18" s="122"/>
      <c r="X18" s="122"/>
      <c r="Y18" s="122"/>
      <c r="Z18" s="122"/>
      <c r="AA18" s="122"/>
      <c r="AB18" s="122"/>
      <c r="AC18" s="122"/>
      <c r="AD18" s="122"/>
      <c r="AE18" s="122"/>
      <c r="AF18" s="122"/>
      <c r="AG18" s="122"/>
      <c r="AH18" s="122"/>
      <c r="AI18" s="122"/>
      <c r="AJ18" s="122"/>
      <c r="AK18" s="122"/>
      <c r="AL18" s="122"/>
      <c r="AM18" s="122"/>
      <c r="AN18" s="122"/>
      <c r="AO18" s="122"/>
      <c r="AP18" s="122"/>
      <c r="AQ18" s="122"/>
      <c r="AR18" s="122"/>
      <c r="AS18" s="122"/>
      <c r="AT18" s="122"/>
      <c r="AU18" s="122"/>
      <c r="AV18" s="122"/>
      <c r="AW18" s="122"/>
      <c r="AX18" s="122"/>
    </row>
    <row r="19" spans="1:50" ht="15" customHeight="1" x14ac:dyDescent="0.2">
      <c r="A19" s="122"/>
      <c r="B19" s="122"/>
      <c r="C19" s="122"/>
      <c r="D19" s="122"/>
      <c r="E19" s="122"/>
      <c r="F19" s="122"/>
      <c r="G19" s="122"/>
      <c r="H19" s="122"/>
      <c r="I19" s="122"/>
      <c r="J19" s="122"/>
      <c r="K19" s="122"/>
      <c r="L19" s="122"/>
      <c r="M19" s="122"/>
      <c r="N19" s="122"/>
      <c r="O19" s="122"/>
      <c r="P19" s="122"/>
      <c r="Q19" s="122"/>
      <c r="R19" s="122"/>
      <c r="S19" s="122"/>
      <c r="T19" s="122"/>
      <c r="U19" s="122"/>
      <c r="V19" s="122"/>
      <c r="W19" s="122"/>
      <c r="X19" s="122"/>
      <c r="Y19" s="122"/>
      <c r="Z19" s="122"/>
      <c r="AA19" s="122"/>
      <c r="AB19" s="122"/>
      <c r="AC19" s="122"/>
      <c r="AD19" s="122"/>
      <c r="AE19" s="122"/>
      <c r="AF19" s="122"/>
      <c r="AG19" s="122"/>
      <c r="AH19" s="122"/>
      <c r="AI19" s="122"/>
      <c r="AJ19" s="122"/>
      <c r="AK19" s="122"/>
      <c r="AL19" s="122"/>
      <c r="AM19" s="122"/>
      <c r="AN19" s="122"/>
      <c r="AO19" s="122"/>
      <c r="AP19" s="122"/>
      <c r="AQ19" s="122"/>
      <c r="AR19" s="122"/>
      <c r="AS19" s="122"/>
      <c r="AT19" s="122"/>
      <c r="AU19" s="122"/>
      <c r="AV19" s="122"/>
      <c r="AW19" s="122"/>
      <c r="AX19" s="122"/>
    </row>
    <row r="20" spans="1:50" ht="15" customHeight="1" x14ac:dyDescent="0.2">
      <c r="A20" s="122"/>
      <c r="B20" s="122"/>
      <c r="C20" s="122"/>
      <c r="D20" s="122"/>
      <c r="E20" s="122"/>
      <c r="F20" s="122"/>
      <c r="G20" s="122"/>
      <c r="H20" s="122"/>
      <c r="I20" s="122"/>
      <c r="J20" s="122"/>
      <c r="K20" s="122"/>
      <c r="L20" s="122"/>
      <c r="M20" s="122"/>
      <c r="N20" s="122"/>
      <c r="O20" s="122"/>
      <c r="P20" s="122"/>
      <c r="Q20" s="122"/>
      <c r="R20" s="122"/>
      <c r="S20" s="122"/>
      <c r="T20" s="122"/>
      <c r="U20" s="12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c r="AV20" s="122"/>
      <c r="AW20" s="122"/>
      <c r="AX20" s="122"/>
    </row>
    <row r="21" spans="1:50" ht="15" customHeight="1" x14ac:dyDescent="0.2">
      <c r="A21" s="122"/>
      <c r="B21" s="122"/>
      <c r="C21" s="122"/>
      <c r="D21" s="122"/>
      <c r="E21" s="122"/>
      <c r="F21" s="122"/>
      <c r="G21" s="122"/>
      <c r="H21" s="122"/>
      <c r="I21" s="122"/>
      <c r="J21" s="122"/>
      <c r="K21" s="122"/>
      <c r="L21" s="122"/>
      <c r="M21" s="122"/>
      <c r="N21" s="122"/>
      <c r="O21" s="122"/>
      <c r="P21" s="122"/>
      <c r="Q21" s="122"/>
      <c r="R21" s="122"/>
      <c r="S21" s="122"/>
      <c r="T21" s="122"/>
      <c r="U21" s="122"/>
      <c r="V21" s="122"/>
      <c r="W21" s="122"/>
      <c r="X21" s="122"/>
      <c r="Y21" s="122"/>
      <c r="Z21" s="122"/>
      <c r="AA21" s="122"/>
      <c r="AB21" s="122"/>
      <c r="AC21" s="122"/>
      <c r="AD21" s="122"/>
      <c r="AE21" s="122"/>
      <c r="AF21" s="122"/>
      <c r="AG21" s="122"/>
      <c r="AH21" s="122"/>
      <c r="AI21" s="122"/>
      <c r="AJ21" s="122"/>
      <c r="AK21" s="122"/>
      <c r="AL21" s="122"/>
      <c r="AM21" s="122"/>
      <c r="AN21" s="122"/>
      <c r="AO21" s="122"/>
      <c r="AP21" s="122"/>
      <c r="AQ21" s="122"/>
      <c r="AR21" s="122"/>
      <c r="AS21" s="122"/>
      <c r="AT21" s="122"/>
      <c r="AU21" s="122"/>
      <c r="AV21" s="122"/>
      <c r="AW21" s="122"/>
      <c r="AX21" s="122"/>
    </row>
    <row r="22" spans="1:50" ht="15" customHeight="1" x14ac:dyDescent="0.2">
      <c r="A22" s="122"/>
      <c r="B22" s="122"/>
      <c r="C22" s="122"/>
      <c r="D22" s="122"/>
      <c r="E22" s="122"/>
      <c r="F22" s="122"/>
      <c r="G22" s="122"/>
      <c r="H22" s="122"/>
      <c r="I22" s="122"/>
      <c r="J22" s="122"/>
      <c r="K22" s="122"/>
      <c r="L22" s="122"/>
      <c r="M22" s="122"/>
      <c r="N22" s="122"/>
      <c r="O22" s="122"/>
      <c r="P22" s="122"/>
      <c r="Q22" s="122"/>
      <c r="R22" s="122"/>
      <c r="S22" s="122"/>
      <c r="T22" s="122"/>
      <c r="U22" s="122"/>
      <c r="V22" s="122"/>
      <c r="W22" s="122"/>
      <c r="X22" s="122"/>
      <c r="Y22" s="122"/>
      <c r="Z22" s="122"/>
      <c r="AA22" s="122"/>
      <c r="AB22" s="122"/>
      <c r="AC22" s="122"/>
      <c r="AD22" s="122"/>
      <c r="AE22" s="122"/>
      <c r="AF22" s="122"/>
      <c r="AG22" s="122"/>
      <c r="AH22" s="122"/>
      <c r="AI22" s="122"/>
      <c r="AJ22" s="122"/>
      <c r="AK22" s="122"/>
      <c r="AL22" s="122"/>
      <c r="AM22" s="122"/>
      <c r="AN22" s="122"/>
      <c r="AO22" s="122"/>
      <c r="AP22" s="122"/>
      <c r="AQ22" s="122"/>
      <c r="AR22" s="122"/>
      <c r="AS22" s="122"/>
      <c r="AT22" s="122"/>
      <c r="AU22" s="122"/>
      <c r="AV22" s="122"/>
      <c r="AW22" s="122"/>
      <c r="AX22" s="122"/>
    </row>
    <row r="23" spans="1:50" ht="15" customHeight="1" x14ac:dyDescent="0.2">
      <c r="A23" s="122"/>
      <c r="B23" s="122"/>
      <c r="C23" s="122"/>
      <c r="D23" s="122"/>
      <c r="E23" s="122"/>
      <c r="F23" s="122"/>
      <c r="G23" s="122"/>
      <c r="H23" s="122"/>
      <c r="I23" s="122"/>
      <c r="J23" s="122"/>
      <c r="K23" s="122"/>
      <c r="L23" s="122"/>
      <c r="M23" s="122"/>
      <c r="N23" s="122"/>
      <c r="O23" s="122"/>
      <c r="P23" s="122"/>
      <c r="Q23" s="122"/>
      <c r="R23" s="122"/>
      <c r="S23" s="122"/>
      <c r="T23" s="122"/>
      <c r="U23" s="122"/>
      <c r="V23" s="122"/>
      <c r="W23" s="122"/>
      <c r="X23" s="122"/>
      <c r="Y23" s="122"/>
      <c r="Z23" s="122"/>
      <c r="AA23" s="122"/>
      <c r="AB23" s="122"/>
      <c r="AC23" s="122"/>
      <c r="AD23" s="122"/>
      <c r="AE23" s="122"/>
      <c r="AF23" s="122"/>
      <c r="AG23" s="122"/>
      <c r="AH23" s="122"/>
      <c r="AI23" s="122"/>
      <c r="AJ23" s="122"/>
      <c r="AK23" s="122"/>
      <c r="AL23" s="122"/>
      <c r="AM23" s="122"/>
      <c r="AN23" s="122"/>
      <c r="AO23" s="122"/>
      <c r="AP23" s="122"/>
      <c r="AQ23" s="122"/>
      <c r="AR23" s="122"/>
      <c r="AS23" s="122"/>
      <c r="AT23" s="122"/>
      <c r="AU23" s="122"/>
      <c r="AV23" s="122"/>
      <c r="AW23" s="122"/>
      <c r="AX23" s="122"/>
    </row>
    <row r="24" spans="1:50" ht="15" customHeight="1" x14ac:dyDescent="0.2">
      <c r="A24" s="122"/>
      <c r="B24" s="122"/>
      <c r="C24" s="122"/>
      <c r="D24" s="122"/>
      <c r="E24" s="122"/>
      <c r="F24" s="122"/>
      <c r="G24" s="122"/>
      <c r="H24" s="122"/>
      <c r="I24" s="122"/>
      <c r="J24" s="122"/>
      <c r="K24" s="122"/>
      <c r="L24" s="122"/>
      <c r="M24" s="122"/>
      <c r="N24" s="122"/>
      <c r="O24" s="122"/>
      <c r="P24" s="122"/>
      <c r="Q24" s="122"/>
      <c r="R24" s="122"/>
      <c r="S24" s="122"/>
      <c r="T24" s="122"/>
      <c r="U24" s="122"/>
      <c r="V24" s="122"/>
      <c r="W24" s="122"/>
      <c r="X24" s="122"/>
      <c r="Y24" s="122"/>
      <c r="Z24" s="122"/>
      <c r="AA24" s="122"/>
      <c r="AB24" s="122"/>
      <c r="AC24" s="122"/>
      <c r="AD24" s="122"/>
      <c r="AE24" s="122"/>
      <c r="AF24" s="122"/>
      <c r="AG24" s="122"/>
      <c r="AH24" s="122"/>
      <c r="AI24" s="122"/>
      <c r="AJ24" s="122"/>
      <c r="AK24" s="122"/>
      <c r="AL24" s="122"/>
      <c r="AM24" s="122"/>
      <c r="AN24" s="122"/>
      <c r="AO24" s="122"/>
      <c r="AP24" s="122"/>
      <c r="AQ24" s="122"/>
      <c r="AR24" s="122"/>
      <c r="AS24" s="122"/>
      <c r="AT24" s="122"/>
      <c r="AU24" s="122"/>
      <c r="AV24" s="122"/>
      <c r="AW24" s="122"/>
      <c r="AX24" s="122"/>
    </row>
    <row r="25" spans="1:50" ht="15" customHeight="1" x14ac:dyDescent="0.2">
      <c r="A25" s="122"/>
      <c r="B25" s="122"/>
      <c r="C25" s="122"/>
      <c r="D25" s="122"/>
      <c r="E25" s="122"/>
      <c r="F25" s="122"/>
      <c r="G25" s="122"/>
      <c r="H25" s="122"/>
      <c r="I25" s="122"/>
      <c r="J25" s="122"/>
      <c r="K25" s="122"/>
      <c r="L25" s="122"/>
      <c r="M25" s="122"/>
      <c r="N25" s="122"/>
      <c r="O25" s="122"/>
      <c r="P25" s="122"/>
      <c r="Q25" s="122"/>
      <c r="R25" s="122"/>
      <c r="S25" s="122"/>
      <c r="T25" s="122"/>
      <c r="U25" s="122"/>
      <c r="V25" s="122"/>
      <c r="W25" s="122"/>
      <c r="X25" s="122"/>
      <c r="Y25" s="122"/>
      <c r="Z25" s="122"/>
      <c r="AA25" s="122"/>
      <c r="AB25" s="122"/>
      <c r="AC25" s="122"/>
      <c r="AD25" s="122"/>
      <c r="AE25" s="122"/>
      <c r="AF25" s="122"/>
      <c r="AG25" s="122"/>
      <c r="AH25" s="122"/>
      <c r="AI25" s="122"/>
      <c r="AJ25" s="122"/>
      <c r="AK25" s="122"/>
      <c r="AL25" s="122"/>
      <c r="AM25" s="122"/>
      <c r="AN25" s="122"/>
      <c r="AO25" s="122"/>
      <c r="AP25" s="122"/>
      <c r="AQ25" s="122"/>
      <c r="AR25" s="122"/>
      <c r="AS25" s="122"/>
      <c r="AT25" s="122"/>
      <c r="AU25" s="122"/>
      <c r="AV25" s="122"/>
      <c r="AW25" s="122"/>
      <c r="AX25" s="122"/>
    </row>
    <row r="26" spans="1:50" ht="15" customHeight="1" x14ac:dyDescent="0.2">
      <c r="A26" s="122"/>
      <c r="B26" s="122"/>
      <c r="C26" s="122"/>
      <c r="D26" s="122"/>
      <c r="E26" s="122"/>
      <c r="F26" s="122"/>
      <c r="G26" s="122"/>
      <c r="H26" s="122"/>
      <c r="I26" s="122"/>
      <c r="J26" s="122"/>
      <c r="K26" s="122"/>
      <c r="L26" s="122"/>
      <c r="M26" s="122"/>
      <c r="N26" s="122"/>
      <c r="O26" s="122"/>
      <c r="P26" s="122"/>
      <c r="Q26" s="122"/>
      <c r="R26" s="122"/>
      <c r="S26" s="122"/>
      <c r="T26" s="122"/>
      <c r="U26" s="122"/>
      <c r="V26" s="122"/>
      <c r="W26" s="122"/>
      <c r="X26" s="122"/>
      <c r="Y26" s="122"/>
      <c r="Z26" s="122"/>
      <c r="AA26" s="122"/>
      <c r="AB26" s="122"/>
      <c r="AC26" s="122"/>
      <c r="AD26" s="122"/>
      <c r="AE26" s="122"/>
      <c r="AF26" s="122"/>
      <c r="AG26" s="122"/>
      <c r="AH26" s="122"/>
      <c r="AI26" s="122"/>
      <c r="AJ26" s="122"/>
      <c r="AK26" s="122"/>
      <c r="AL26" s="122"/>
      <c r="AM26" s="122"/>
      <c r="AN26" s="122"/>
      <c r="AO26" s="122"/>
      <c r="AP26" s="122"/>
      <c r="AQ26" s="122"/>
      <c r="AR26" s="122"/>
      <c r="AS26" s="122"/>
      <c r="AT26" s="122"/>
      <c r="AU26" s="122"/>
      <c r="AV26" s="122"/>
      <c r="AW26" s="122"/>
      <c r="AX26" s="122"/>
    </row>
    <row r="27" spans="1:50" ht="15" customHeight="1" x14ac:dyDescent="0.2">
      <c r="A27" s="122"/>
      <c r="B27" s="122"/>
      <c r="C27" s="122"/>
      <c r="D27" s="122"/>
      <c r="E27" s="122"/>
      <c r="F27" s="122"/>
      <c r="G27" s="122"/>
      <c r="H27" s="122"/>
      <c r="I27" s="122"/>
      <c r="J27" s="122"/>
      <c r="K27" s="122"/>
      <c r="L27" s="122"/>
      <c r="M27" s="122"/>
      <c r="N27" s="122"/>
      <c r="O27" s="122"/>
      <c r="P27" s="122"/>
      <c r="Q27" s="122"/>
      <c r="R27" s="122"/>
      <c r="S27" s="122"/>
      <c r="T27" s="122"/>
      <c r="U27" s="122"/>
      <c r="V27" s="122"/>
      <c r="W27" s="122"/>
      <c r="X27" s="122"/>
      <c r="Y27" s="122"/>
      <c r="Z27" s="122"/>
      <c r="AA27" s="122"/>
      <c r="AB27" s="122"/>
      <c r="AC27" s="122"/>
      <c r="AD27" s="122"/>
      <c r="AE27" s="122"/>
      <c r="AF27" s="122"/>
      <c r="AG27" s="122"/>
      <c r="AH27" s="122"/>
      <c r="AI27" s="122"/>
      <c r="AJ27" s="122"/>
      <c r="AK27" s="122"/>
      <c r="AL27" s="122"/>
      <c r="AM27" s="122"/>
      <c r="AN27" s="122"/>
      <c r="AO27" s="122"/>
      <c r="AP27" s="122"/>
      <c r="AQ27" s="122"/>
      <c r="AR27" s="122"/>
      <c r="AS27" s="122"/>
      <c r="AT27" s="122"/>
      <c r="AU27" s="122"/>
      <c r="AV27" s="122"/>
      <c r="AW27" s="122"/>
      <c r="AX27" s="122"/>
    </row>
    <row r="28" spans="1:50" ht="15" customHeight="1" x14ac:dyDescent="0.2">
      <c r="A28" s="122"/>
      <c r="B28" s="122"/>
      <c r="C28" s="122"/>
      <c r="D28" s="122"/>
      <c r="E28" s="122"/>
      <c r="F28" s="122"/>
      <c r="G28" s="122"/>
      <c r="H28" s="122"/>
      <c r="I28" s="122"/>
      <c r="J28" s="122"/>
      <c r="K28" s="122"/>
      <c r="L28" s="122"/>
      <c r="M28" s="122"/>
      <c r="N28" s="122"/>
      <c r="O28" s="122"/>
      <c r="P28" s="122"/>
      <c r="Q28" s="122"/>
      <c r="R28" s="122"/>
      <c r="S28" s="122"/>
      <c r="T28" s="122"/>
      <c r="U28" s="122"/>
      <c r="V28" s="122"/>
      <c r="W28" s="122"/>
      <c r="X28" s="122"/>
      <c r="Y28" s="122"/>
      <c r="Z28" s="122"/>
      <c r="AA28" s="122"/>
      <c r="AB28" s="122"/>
      <c r="AC28" s="122"/>
      <c r="AD28" s="122"/>
      <c r="AE28" s="122"/>
      <c r="AF28" s="122"/>
      <c r="AG28" s="122"/>
      <c r="AH28" s="122"/>
      <c r="AI28" s="122"/>
      <c r="AJ28" s="122"/>
      <c r="AK28" s="122"/>
      <c r="AL28" s="122"/>
      <c r="AM28" s="122"/>
      <c r="AN28" s="122"/>
      <c r="AO28" s="122"/>
      <c r="AP28" s="122"/>
      <c r="AQ28" s="122"/>
      <c r="AR28" s="122"/>
      <c r="AS28" s="122"/>
      <c r="AT28" s="122"/>
      <c r="AU28" s="122"/>
      <c r="AV28" s="122"/>
      <c r="AW28" s="122"/>
      <c r="AX28" s="122"/>
    </row>
    <row r="29" spans="1:50" ht="15" customHeight="1" x14ac:dyDescent="0.2">
      <c r="A29" s="122"/>
      <c r="B29" s="122"/>
      <c r="C29" s="122"/>
      <c r="D29" s="122"/>
      <c r="E29" s="122"/>
      <c r="F29" s="122"/>
      <c r="G29" s="122"/>
      <c r="H29" s="122"/>
      <c r="I29" s="122"/>
      <c r="J29" s="122"/>
      <c r="K29" s="122"/>
      <c r="L29" s="122"/>
      <c r="M29" s="122"/>
      <c r="N29" s="122"/>
      <c r="O29" s="122"/>
      <c r="P29" s="122"/>
      <c r="Q29" s="122"/>
      <c r="R29" s="122"/>
      <c r="S29" s="122"/>
      <c r="T29" s="122"/>
      <c r="U29" s="122"/>
      <c r="V29" s="122"/>
      <c r="W29" s="122"/>
      <c r="X29" s="122"/>
      <c r="Y29" s="122"/>
      <c r="Z29" s="122"/>
      <c r="AA29" s="122"/>
      <c r="AB29" s="122"/>
      <c r="AC29" s="122"/>
      <c r="AD29" s="122"/>
      <c r="AE29" s="122"/>
      <c r="AF29" s="122"/>
      <c r="AG29" s="122"/>
      <c r="AH29" s="122"/>
      <c r="AI29" s="122"/>
      <c r="AJ29" s="122"/>
      <c r="AK29" s="122"/>
      <c r="AL29" s="122"/>
      <c r="AM29" s="122"/>
      <c r="AN29" s="122"/>
      <c r="AO29" s="122"/>
      <c r="AP29" s="122"/>
      <c r="AQ29" s="122"/>
      <c r="AR29" s="122"/>
      <c r="AS29" s="122"/>
      <c r="AT29" s="122"/>
      <c r="AU29" s="122"/>
      <c r="AV29" s="122"/>
      <c r="AW29" s="122"/>
      <c r="AX29" s="122"/>
    </row>
    <row r="30" spans="1:50" ht="15" customHeight="1" x14ac:dyDescent="0.2">
      <c r="A30" s="122"/>
      <c r="B30" s="122"/>
      <c r="C30" s="122"/>
      <c r="D30" s="122"/>
      <c r="E30" s="122"/>
      <c r="F30" s="122"/>
      <c r="G30" s="122"/>
      <c r="H30" s="122"/>
      <c r="I30" s="122"/>
      <c r="J30" s="122"/>
      <c r="K30" s="122"/>
      <c r="L30" s="122"/>
      <c r="M30" s="122"/>
      <c r="N30" s="122"/>
      <c r="O30" s="122"/>
      <c r="P30" s="122"/>
      <c r="Q30" s="122"/>
      <c r="R30" s="122"/>
      <c r="S30" s="122"/>
      <c r="T30" s="122"/>
      <c r="U30" s="122"/>
      <c r="V30" s="122"/>
      <c r="W30" s="122"/>
      <c r="X30" s="122"/>
      <c r="Y30" s="122"/>
      <c r="Z30" s="122"/>
      <c r="AA30" s="122"/>
      <c r="AB30" s="122"/>
      <c r="AC30" s="122"/>
      <c r="AD30" s="122"/>
      <c r="AE30" s="122"/>
      <c r="AF30" s="122"/>
      <c r="AG30" s="122"/>
      <c r="AH30" s="122"/>
      <c r="AI30" s="122"/>
      <c r="AJ30" s="122"/>
      <c r="AK30" s="122"/>
      <c r="AL30" s="122"/>
      <c r="AM30" s="122"/>
      <c r="AN30" s="122"/>
      <c r="AO30" s="122"/>
      <c r="AP30" s="122"/>
      <c r="AQ30" s="122"/>
      <c r="AR30" s="122"/>
      <c r="AS30" s="122"/>
      <c r="AT30" s="122"/>
      <c r="AU30" s="122"/>
      <c r="AV30" s="122"/>
      <c r="AW30" s="122"/>
      <c r="AX30" s="122"/>
    </row>
    <row r="31" spans="1:50" ht="15" customHeight="1" x14ac:dyDescent="0.2">
      <c r="A31" s="122"/>
      <c r="B31" s="122"/>
      <c r="C31" s="122"/>
      <c r="D31" s="122"/>
      <c r="E31" s="122"/>
      <c r="F31" s="122"/>
      <c r="G31" s="122"/>
      <c r="H31" s="122"/>
      <c r="I31" s="122"/>
      <c r="J31" s="122"/>
      <c r="K31" s="122"/>
      <c r="L31" s="122"/>
      <c r="M31" s="122"/>
      <c r="N31" s="122"/>
      <c r="O31" s="122"/>
      <c r="P31" s="122"/>
      <c r="Q31" s="122"/>
      <c r="R31" s="122"/>
      <c r="S31" s="122"/>
      <c r="T31" s="122"/>
      <c r="U31" s="122"/>
      <c r="V31" s="122"/>
      <c r="W31" s="122"/>
      <c r="X31" s="122"/>
      <c r="Y31" s="122"/>
      <c r="Z31" s="122"/>
      <c r="AA31" s="122"/>
      <c r="AB31" s="122"/>
      <c r="AC31" s="122"/>
      <c r="AD31" s="122"/>
      <c r="AE31" s="122"/>
      <c r="AF31" s="122"/>
      <c r="AG31" s="122"/>
      <c r="AH31" s="122"/>
      <c r="AI31" s="122"/>
      <c r="AJ31" s="122"/>
      <c r="AK31" s="122"/>
      <c r="AL31" s="122"/>
      <c r="AM31" s="122"/>
      <c r="AN31" s="122"/>
      <c r="AO31" s="122"/>
      <c r="AP31" s="122"/>
      <c r="AQ31" s="122"/>
      <c r="AR31" s="122"/>
      <c r="AS31" s="122"/>
      <c r="AT31" s="122"/>
      <c r="AU31" s="122"/>
      <c r="AV31" s="122"/>
      <c r="AW31" s="122"/>
      <c r="AX31" s="122"/>
    </row>
    <row r="32" spans="1:50" ht="15" customHeight="1" x14ac:dyDescent="0.2">
      <c r="A32" s="122"/>
      <c r="B32" s="122"/>
      <c r="C32" s="122"/>
      <c r="D32" s="122"/>
      <c r="E32" s="122"/>
      <c r="F32" s="122"/>
      <c r="G32" s="122"/>
      <c r="H32" s="122"/>
      <c r="I32" s="122"/>
      <c r="J32" s="122"/>
      <c r="K32" s="122"/>
      <c r="L32" s="122"/>
      <c r="M32" s="122"/>
      <c r="N32" s="122"/>
      <c r="O32" s="122"/>
      <c r="P32" s="122"/>
      <c r="Q32" s="122"/>
      <c r="R32" s="122"/>
      <c r="S32" s="122"/>
      <c r="T32" s="122"/>
      <c r="U32" s="122"/>
      <c r="V32" s="122"/>
      <c r="W32" s="122"/>
      <c r="X32" s="122"/>
      <c r="Y32" s="122"/>
      <c r="Z32" s="122"/>
      <c r="AA32" s="122"/>
      <c r="AB32" s="122"/>
      <c r="AC32" s="122"/>
      <c r="AD32" s="122"/>
      <c r="AE32" s="122"/>
      <c r="AF32" s="122"/>
      <c r="AG32" s="122"/>
      <c r="AH32" s="122"/>
      <c r="AI32" s="122"/>
      <c r="AJ32" s="122"/>
      <c r="AK32" s="122"/>
      <c r="AL32" s="122"/>
      <c r="AM32" s="122"/>
      <c r="AN32" s="122"/>
      <c r="AO32" s="122"/>
      <c r="AP32" s="122"/>
      <c r="AQ32" s="122"/>
      <c r="AR32" s="122"/>
      <c r="AS32" s="122"/>
      <c r="AT32" s="122"/>
      <c r="AU32" s="122"/>
      <c r="AV32" s="122"/>
      <c r="AW32" s="122"/>
      <c r="AX32" s="122"/>
    </row>
    <row r="33" spans="1:50" ht="15" customHeight="1" x14ac:dyDescent="0.2">
      <c r="A33" s="122"/>
      <c r="B33" s="122"/>
      <c r="C33" s="122"/>
      <c r="D33" s="122"/>
      <c r="E33" s="122"/>
      <c r="F33" s="122"/>
      <c r="G33" s="122"/>
      <c r="H33" s="122"/>
      <c r="I33" s="122"/>
      <c r="J33" s="122"/>
      <c r="K33" s="122"/>
      <c r="L33" s="122"/>
      <c r="M33" s="122"/>
      <c r="N33" s="122"/>
      <c r="O33" s="122"/>
      <c r="P33" s="122"/>
      <c r="Q33" s="122"/>
      <c r="R33" s="122"/>
      <c r="S33" s="122"/>
      <c r="T33" s="122"/>
      <c r="U33" s="122"/>
      <c r="V33" s="122"/>
      <c r="W33" s="122"/>
      <c r="X33" s="122"/>
      <c r="Y33" s="122"/>
      <c r="Z33" s="122"/>
      <c r="AA33" s="122"/>
      <c r="AB33" s="122"/>
      <c r="AC33" s="122"/>
      <c r="AD33" s="122"/>
      <c r="AE33" s="122"/>
      <c r="AF33" s="122"/>
      <c r="AG33" s="122"/>
      <c r="AH33" s="122"/>
      <c r="AI33" s="122"/>
      <c r="AJ33" s="122"/>
      <c r="AK33" s="122"/>
      <c r="AL33" s="122"/>
      <c r="AM33" s="122"/>
      <c r="AN33" s="122"/>
      <c r="AO33" s="122"/>
      <c r="AP33" s="122"/>
      <c r="AQ33" s="122"/>
      <c r="AR33" s="122"/>
      <c r="AS33" s="122"/>
      <c r="AT33" s="122"/>
      <c r="AU33" s="122"/>
      <c r="AV33" s="122"/>
      <c r="AW33" s="122"/>
      <c r="AX33" s="122"/>
    </row>
    <row r="34" spans="1:50" ht="15" customHeight="1" x14ac:dyDescent="0.2">
      <c r="A34" s="122"/>
      <c r="B34" s="122"/>
      <c r="C34" s="122"/>
      <c r="D34" s="122"/>
      <c r="E34" s="122"/>
      <c r="F34" s="122"/>
      <c r="G34" s="122"/>
      <c r="H34" s="122"/>
      <c r="I34" s="122"/>
      <c r="J34" s="122"/>
      <c r="K34" s="122"/>
      <c r="L34" s="122"/>
      <c r="M34" s="122"/>
      <c r="N34" s="122"/>
      <c r="O34" s="122"/>
      <c r="P34" s="122"/>
      <c r="Q34" s="122"/>
      <c r="R34" s="122"/>
      <c r="S34" s="122"/>
      <c r="T34" s="122"/>
      <c r="U34" s="122"/>
      <c r="V34" s="122"/>
      <c r="W34" s="122"/>
      <c r="X34" s="122"/>
      <c r="Y34" s="122"/>
      <c r="Z34" s="122"/>
      <c r="AA34" s="122"/>
      <c r="AB34" s="122"/>
      <c r="AC34" s="122"/>
      <c r="AD34" s="122"/>
      <c r="AE34" s="122"/>
      <c r="AF34" s="122"/>
      <c r="AG34" s="122"/>
      <c r="AH34" s="122"/>
      <c r="AI34" s="122"/>
      <c r="AJ34" s="122"/>
      <c r="AK34" s="122"/>
      <c r="AL34" s="122"/>
      <c r="AM34" s="122"/>
      <c r="AN34" s="122"/>
      <c r="AO34" s="122"/>
      <c r="AP34" s="122"/>
      <c r="AQ34" s="122"/>
      <c r="AR34" s="122"/>
      <c r="AS34" s="122"/>
      <c r="AT34" s="122"/>
      <c r="AU34" s="122"/>
      <c r="AV34" s="122"/>
      <c r="AW34" s="122"/>
      <c r="AX34" s="122"/>
    </row>
    <row r="35" spans="1:50" ht="15" customHeight="1" x14ac:dyDescent="0.2">
      <c r="A35" s="122"/>
      <c r="B35" s="122"/>
      <c r="C35" s="122"/>
      <c r="D35" s="122"/>
      <c r="E35" s="122"/>
      <c r="F35" s="122"/>
      <c r="G35" s="122"/>
      <c r="H35" s="122"/>
      <c r="I35" s="122"/>
      <c r="J35" s="122"/>
      <c r="K35" s="122"/>
      <c r="L35" s="122"/>
      <c r="M35" s="122"/>
      <c r="N35" s="122"/>
      <c r="O35" s="122"/>
      <c r="P35" s="122"/>
      <c r="Q35" s="122"/>
      <c r="R35" s="122"/>
      <c r="S35" s="122"/>
      <c r="T35" s="122"/>
      <c r="U35" s="122"/>
      <c r="V35" s="122"/>
      <c r="W35" s="122"/>
      <c r="X35" s="122"/>
      <c r="Y35" s="122"/>
      <c r="Z35" s="122"/>
      <c r="AA35" s="122"/>
      <c r="AB35" s="122"/>
      <c r="AC35" s="122"/>
      <c r="AD35" s="122"/>
      <c r="AE35" s="122"/>
      <c r="AF35" s="122"/>
      <c r="AG35" s="122"/>
      <c r="AH35" s="122"/>
      <c r="AI35" s="122"/>
      <c r="AJ35" s="122"/>
      <c r="AK35" s="122"/>
      <c r="AL35" s="122"/>
      <c r="AM35" s="122"/>
      <c r="AN35" s="122"/>
      <c r="AO35" s="122"/>
      <c r="AP35" s="122"/>
      <c r="AQ35" s="122"/>
      <c r="AR35" s="122"/>
      <c r="AS35" s="122"/>
      <c r="AT35" s="122"/>
      <c r="AU35" s="122"/>
      <c r="AV35" s="122"/>
      <c r="AW35" s="122"/>
      <c r="AX35" s="122"/>
    </row>
    <row r="36" spans="1:50" ht="15" customHeight="1" x14ac:dyDescent="0.2">
      <c r="A36" s="122"/>
      <c r="B36" s="122"/>
      <c r="C36" s="122"/>
      <c r="D36" s="122"/>
      <c r="E36" s="122"/>
      <c r="F36" s="122"/>
      <c r="G36" s="122"/>
      <c r="H36" s="122"/>
      <c r="I36" s="122"/>
      <c r="J36" s="122"/>
      <c r="K36" s="122"/>
      <c r="L36" s="122"/>
      <c r="M36" s="122"/>
      <c r="N36" s="122"/>
      <c r="O36" s="122"/>
      <c r="P36" s="122"/>
      <c r="Q36" s="122"/>
      <c r="R36" s="122"/>
      <c r="S36" s="122"/>
      <c r="T36" s="122"/>
      <c r="U36" s="122"/>
      <c r="V36" s="122"/>
      <c r="W36" s="122"/>
      <c r="X36" s="122"/>
      <c r="Y36" s="122"/>
      <c r="Z36" s="122"/>
      <c r="AA36" s="122"/>
      <c r="AB36" s="122"/>
      <c r="AC36" s="122"/>
      <c r="AD36" s="122"/>
      <c r="AE36" s="122"/>
      <c r="AF36" s="122"/>
      <c r="AG36" s="122"/>
      <c r="AH36" s="122"/>
      <c r="AI36" s="122"/>
      <c r="AJ36" s="122"/>
      <c r="AK36" s="122"/>
      <c r="AL36" s="122"/>
      <c r="AM36" s="122"/>
      <c r="AN36" s="122"/>
      <c r="AO36" s="122"/>
      <c r="AP36" s="122"/>
      <c r="AQ36" s="122"/>
      <c r="AR36" s="122"/>
      <c r="AS36" s="122"/>
      <c r="AT36" s="122"/>
      <c r="AU36" s="122"/>
      <c r="AV36" s="122"/>
      <c r="AW36" s="122"/>
      <c r="AX36" s="122"/>
    </row>
    <row r="37" spans="1:50" ht="15" customHeight="1" x14ac:dyDescent="0.2">
      <c r="A37" s="122"/>
      <c r="B37" s="122"/>
      <c r="C37" s="122"/>
      <c r="D37" s="122"/>
      <c r="E37" s="122"/>
      <c r="F37" s="122"/>
      <c r="G37" s="122"/>
      <c r="H37" s="122"/>
      <c r="I37" s="122"/>
      <c r="J37" s="122"/>
      <c r="K37" s="122"/>
      <c r="L37" s="122"/>
      <c r="M37" s="122"/>
      <c r="N37" s="122"/>
      <c r="O37" s="122"/>
      <c r="P37" s="122"/>
      <c r="Q37" s="122"/>
      <c r="R37" s="122"/>
      <c r="S37" s="122"/>
      <c r="T37" s="122"/>
      <c r="U37" s="122"/>
      <c r="V37" s="122"/>
      <c r="W37" s="122"/>
      <c r="X37" s="122"/>
      <c r="Y37" s="122"/>
      <c r="Z37" s="122"/>
      <c r="AA37" s="122"/>
      <c r="AB37" s="122"/>
      <c r="AC37" s="122"/>
      <c r="AD37" s="122"/>
      <c r="AE37" s="122"/>
      <c r="AF37" s="122"/>
      <c r="AG37" s="122"/>
      <c r="AH37" s="122"/>
      <c r="AI37" s="122"/>
      <c r="AJ37" s="122"/>
      <c r="AK37" s="122"/>
      <c r="AL37" s="122"/>
      <c r="AM37" s="122"/>
      <c r="AN37" s="122"/>
      <c r="AO37" s="122"/>
      <c r="AP37" s="122"/>
      <c r="AQ37" s="122"/>
      <c r="AR37" s="122"/>
      <c r="AS37" s="122"/>
      <c r="AT37" s="122"/>
      <c r="AU37" s="122"/>
      <c r="AV37" s="122"/>
      <c r="AW37" s="122"/>
      <c r="AX37" s="122"/>
    </row>
    <row r="38" spans="1:50" ht="15" customHeight="1" x14ac:dyDescent="0.2">
      <c r="A38" s="122"/>
      <c r="B38" s="122"/>
      <c r="C38" s="122"/>
      <c r="D38" s="122"/>
      <c r="E38" s="122"/>
      <c r="F38" s="122"/>
      <c r="G38" s="122"/>
      <c r="H38" s="122"/>
      <c r="I38" s="122"/>
      <c r="J38" s="122"/>
      <c r="K38" s="122"/>
      <c r="L38" s="122"/>
      <c r="M38" s="122"/>
      <c r="N38" s="122"/>
      <c r="O38" s="122"/>
      <c r="P38" s="122"/>
      <c r="Q38" s="122"/>
      <c r="R38" s="122"/>
      <c r="S38" s="122"/>
      <c r="T38" s="122"/>
      <c r="U38" s="122"/>
      <c r="V38" s="122"/>
      <c r="W38" s="122"/>
      <c r="X38" s="122"/>
      <c r="Y38" s="122"/>
      <c r="Z38" s="122"/>
      <c r="AA38" s="122"/>
      <c r="AB38" s="122"/>
      <c r="AC38" s="122"/>
      <c r="AD38" s="122"/>
      <c r="AE38" s="122"/>
      <c r="AF38" s="122"/>
      <c r="AG38" s="122"/>
      <c r="AH38" s="122"/>
      <c r="AI38" s="122"/>
      <c r="AJ38" s="122"/>
      <c r="AK38" s="122"/>
      <c r="AL38" s="122"/>
      <c r="AM38" s="122"/>
      <c r="AN38" s="122"/>
      <c r="AO38" s="122"/>
      <c r="AP38" s="122"/>
      <c r="AQ38" s="122"/>
      <c r="AR38" s="122"/>
      <c r="AS38" s="122"/>
      <c r="AT38" s="122"/>
      <c r="AU38" s="122"/>
      <c r="AV38" s="122"/>
      <c r="AW38" s="122"/>
      <c r="AX38" s="122"/>
    </row>
    <row r="39" spans="1:50" ht="15" customHeight="1" x14ac:dyDescent="0.2">
      <c r="A39" s="122"/>
      <c r="B39" s="122"/>
      <c r="C39" s="122"/>
      <c r="D39" s="122"/>
      <c r="E39" s="122"/>
      <c r="F39" s="122"/>
      <c r="G39" s="122"/>
      <c r="H39" s="122"/>
      <c r="I39" s="122"/>
      <c r="J39" s="122"/>
      <c r="K39" s="122"/>
      <c r="L39" s="122"/>
      <c r="M39" s="122"/>
      <c r="N39" s="122"/>
      <c r="O39" s="122"/>
      <c r="P39" s="122"/>
      <c r="Q39" s="122"/>
      <c r="R39" s="122"/>
      <c r="S39" s="122"/>
      <c r="T39" s="122"/>
      <c r="U39" s="122"/>
      <c r="V39" s="122"/>
      <c r="W39" s="122"/>
      <c r="X39" s="122"/>
      <c r="Y39" s="122"/>
      <c r="Z39" s="122"/>
      <c r="AA39" s="122"/>
      <c r="AB39" s="122"/>
      <c r="AC39" s="122"/>
      <c r="AD39" s="122"/>
      <c r="AE39" s="122"/>
      <c r="AF39" s="122"/>
      <c r="AG39" s="122"/>
      <c r="AH39" s="122"/>
      <c r="AI39" s="122"/>
      <c r="AJ39" s="122"/>
      <c r="AK39" s="122"/>
      <c r="AL39" s="122"/>
      <c r="AM39" s="122"/>
      <c r="AN39" s="122"/>
      <c r="AO39" s="122"/>
      <c r="AP39" s="122"/>
      <c r="AQ39" s="122"/>
      <c r="AR39" s="122"/>
      <c r="AS39" s="122"/>
      <c r="AT39" s="122"/>
      <c r="AU39" s="122"/>
      <c r="AV39" s="122"/>
      <c r="AW39" s="122"/>
      <c r="AX39" s="122"/>
    </row>
    <row r="40" spans="1:50" ht="15" customHeight="1" x14ac:dyDescent="0.2">
      <c r="A40" s="122"/>
      <c r="B40" s="122"/>
      <c r="C40" s="122"/>
      <c r="D40" s="122"/>
      <c r="E40" s="122"/>
      <c r="F40" s="122"/>
      <c r="G40" s="122"/>
      <c r="H40" s="122"/>
      <c r="I40" s="122"/>
      <c r="J40" s="122"/>
      <c r="K40" s="122"/>
      <c r="L40" s="122"/>
      <c r="M40" s="122"/>
      <c r="N40" s="122"/>
      <c r="O40" s="122"/>
      <c r="P40" s="122"/>
      <c r="Q40" s="122"/>
      <c r="R40" s="122"/>
      <c r="S40" s="122"/>
      <c r="T40" s="122"/>
      <c r="U40" s="122"/>
      <c r="V40" s="122"/>
      <c r="W40" s="122"/>
      <c r="X40" s="122"/>
      <c r="Y40" s="122"/>
      <c r="Z40" s="122"/>
      <c r="AA40" s="122"/>
      <c r="AB40" s="122"/>
      <c r="AC40" s="122"/>
      <c r="AD40" s="122"/>
      <c r="AE40" s="122"/>
      <c r="AF40" s="122"/>
      <c r="AG40" s="122"/>
      <c r="AH40" s="122"/>
      <c r="AI40" s="122"/>
      <c r="AJ40" s="122"/>
      <c r="AK40" s="122"/>
      <c r="AL40" s="122"/>
      <c r="AM40" s="122"/>
      <c r="AN40" s="122"/>
      <c r="AO40" s="122"/>
      <c r="AP40" s="122"/>
      <c r="AQ40" s="122"/>
      <c r="AR40" s="122"/>
      <c r="AS40" s="122"/>
      <c r="AT40" s="122"/>
      <c r="AU40" s="122"/>
      <c r="AV40" s="122"/>
      <c r="AW40" s="122"/>
      <c r="AX40" s="122"/>
    </row>
    <row r="41" spans="1:50" ht="15" customHeight="1" x14ac:dyDescent="0.2">
      <c r="A41" s="122"/>
      <c r="B41" s="122"/>
      <c r="C41" s="122"/>
      <c r="D41" s="122"/>
      <c r="E41" s="122"/>
      <c r="F41" s="122"/>
      <c r="G41" s="122"/>
      <c r="H41" s="122"/>
      <c r="I41" s="122"/>
      <c r="J41" s="122"/>
      <c r="K41" s="122"/>
      <c r="L41" s="122"/>
      <c r="M41" s="122"/>
      <c r="N41" s="122"/>
      <c r="O41" s="122"/>
      <c r="P41" s="122"/>
      <c r="Q41" s="122"/>
      <c r="R41" s="122"/>
      <c r="S41" s="122"/>
      <c r="T41" s="122"/>
      <c r="U41" s="122"/>
      <c r="V41" s="122"/>
      <c r="W41" s="122"/>
      <c r="X41" s="122"/>
      <c r="Y41" s="122"/>
      <c r="Z41" s="122"/>
      <c r="AA41" s="122"/>
      <c r="AB41" s="122"/>
      <c r="AC41" s="122"/>
      <c r="AD41" s="122"/>
      <c r="AE41" s="122"/>
      <c r="AF41" s="122"/>
      <c r="AG41" s="122"/>
      <c r="AH41" s="122"/>
      <c r="AI41" s="122"/>
      <c r="AJ41" s="122"/>
      <c r="AK41" s="122"/>
      <c r="AL41" s="122"/>
      <c r="AM41" s="122"/>
      <c r="AN41" s="122"/>
      <c r="AO41" s="122"/>
      <c r="AP41" s="122"/>
      <c r="AQ41" s="122"/>
      <c r="AR41" s="122"/>
      <c r="AS41" s="122"/>
      <c r="AT41" s="122"/>
      <c r="AU41" s="122"/>
      <c r="AV41" s="122"/>
      <c r="AW41" s="122"/>
      <c r="AX41" s="122"/>
    </row>
    <row r="42" spans="1:50" ht="15" customHeight="1" x14ac:dyDescent="0.2">
      <c r="A42" s="122"/>
      <c r="B42" s="122"/>
      <c r="C42" s="122"/>
      <c r="D42" s="122"/>
      <c r="E42" s="122"/>
      <c r="F42" s="122"/>
      <c r="G42" s="122"/>
      <c r="H42" s="122"/>
      <c r="I42" s="122"/>
      <c r="J42" s="122"/>
      <c r="K42" s="122"/>
      <c r="L42" s="122"/>
      <c r="M42" s="122"/>
      <c r="N42" s="122"/>
      <c r="O42" s="122"/>
      <c r="P42" s="122"/>
      <c r="Q42" s="122"/>
      <c r="R42" s="122"/>
      <c r="S42" s="122"/>
      <c r="T42" s="122"/>
      <c r="U42" s="122"/>
      <c r="V42" s="122"/>
      <c r="W42" s="122"/>
      <c r="X42" s="122"/>
      <c r="Y42" s="122"/>
      <c r="Z42" s="122"/>
      <c r="AA42" s="122"/>
      <c r="AB42" s="122"/>
      <c r="AC42" s="122"/>
      <c r="AD42" s="122"/>
      <c r="AE42" s="122"/>
      <c r="AF42" s="122"/>
      <c r="AG42" s="122"/>
      <c r="AH42" s="122"/>
      <c r="AI42" s="122"/>
      <c r="AJ42" s="122"/>
      <c r="AK42" s="122"/>
      <c r="AL42" s="122"/>
      <c r="AM42" s="122"/>
      <c r="AN42" s="122"/>
      <c r="AO42" s="122"/>
      <c r="AP42" s="122"/>
      <c r="AQ42" s="122"/>
      <c r="AR42" s="122"/>
      <c r="AS42" s="122"/>
      <c r="AT42" s="122"/>
      <c r="AU42" s="122"/>
      <c r="AV42" s="122"/>
      <c r="AW42" s="122"/>
      <c r="AX42" s="122"/>
    </row>
    <row r="43" spans="1:50" ht="15" customHeight="1" x14ac:dyDescent="0.2">
      <c r="A43" s="122"/>
      <c r="B43" s="122"/>
      <c r="C43" s="122"/>
      <c r="D43" s="122"/>
      <c r="E43" s="122"/>
      <c r="F43" s="122"/>
      <c r="G43" s="122"/>
      <c r="H43" s="122"/>
      <c r="I43" s="122"/>
      <c r="J43" s="122"/>
      <c r="K43" s="122"/>
      <c r="L43" s="122"/>
      <c r="M43" s="122"/>
      <c r="N43" s="122"/>
      <c r="O43" s="122"/>
      <c r="P43" s="122"/>
      <c r="Q43" s="122"/>
      <c r="R43" s="122"/>
      <c r="S43" s="122"/>
      <c r="T43" s="122"/>
      <c r="U43" s="122"/>
      <c r="V43" s="122"/>
      <c r="W43" s="122"/>
      <c r="X43" s="122"/>
      <c r="Y43" s="122"/>
      <c r="Z43" s="122"/>
      <c r="AA43" s="122"/>
      <c r="AB43" s="122"/>
      <c r="AC43" s="122"/>
      <c r="AD43" s="122"/>
      <c r="AE43" s="122"/>
      <c r="AF43" s="122"/>
      <c r="AG43" s="122"/>
      <c r="AH43" s="122"/>
      <c r="AI43" s="122"/>
      <c r="AJ43" s="122"/>
      <c r="AK43" s="122"/>
      <c r="AL43" s="122"/>
      <c r="AM43" s="122"/>
      <c r="AN43" s="122"/>
      <c r="AO43" s="122"/>
      <c r="AP43" s="122"/>
      <c r="AQ43" s="122"/>
      <c r="AR43" s="122"/>
      <c r="AS43" s="122"/>
      <c r="AT43" s="122"/>
      <c r="AU43" s="122"/>
      <c r="AV43" s="122"/>
      <c r="AW43" s="122"/>
      <c r="AX43" s="122"/>
    </row>
    <row r="44" spans="1:50" ht="15" customHeight="1" x14ac:dyDescent="0.2">
      <c r="A44" s="122"/>
      <c r="B44" s="122"/>
      <c r="C44" s="122"/>
      <c r="D44" s="122"/>
      <c r="E44" s="122"/>
      <c r="F44" s="122"/>
      <c r="G44" s="122"/>
      <c r="H44" s="122"/>
      <c r="I44" s="122"/>
      <c r="J44" s="122"/>
      <c r="K44" s="122"/>
      <c r="L44" s="122"/>
      <c r="M44" s="122"/>
      <c r="N44" s="122"/>
      <c r="O44" s="122"/>
      <c r="P44" s="122"/>
      <c r="Q44" s="122"/>
      <c r="R44" s="122"/>
      <c r="S44" s="122"/>
      <c r="T44" s="122"/>
      <c r="U44" s="122"/>
      <c r="V44" s="122"/>
      <c r="W44" s="122"/>
      <c r="X44" s="122"/>
      <c r="Y44" s="122"/>
      <c r="Z44" s="122"/>
      <c r="AA44" s="122"/>
      <c r="AB44" s="122"/>
      <c r="AC44" s="122"/>
      <c r="AD44" s="122"/>
      <c r="AE44" s="122"/>
      <c r="AF44" s="122"/>
      <c r="AG44" s="122"/>
      <c r="AH44" s="122"/>
      <c r="AI44" s="122"/>
      <c r="AJ44" s="122"/>
      <c r="AK44" s="122"/>
      <c r="AL44" s="122"/>
      <c r="AM44" s="122"/>
      <c r="AN44" s="122"/>
      <c r="AO44" s="122"/>
      <c r="AP44" s="122"/>
      <c r="AQ44" s="122"/>
      <c r="AR44" s="122"/>
      <c r="AS44" s="122"/>
      <c r="AT44" s="122"/>
      <c r="AU44" s="122"/>
      <c r="AV44" s="122"/>
      <c r="AW44" s="122"/>
      <c r="AX44" s="122"/>
    </row>
    <row r="45" spans="1:50" ht="15" customHeight="1" x14ac:dyDescent="0.2">
      <c r="A45" s="122"/>
      <c r="B45" s="122"/>
      <c r="C45" s="122"/>
      <c r="D45" s="122"/>
      <c r="E45" s="122"/>
      <c r="F45" s="122"/>
      <c r="G45" s="122"/>
      <c r="H45" s="122"/>
      <c r="I45" s="122"/>
      <c r="J45" s="122"/>
      <c r="K45" s="122"/>
      <c r="L45" s="122"/>
      <c r="M45" s="122"/>
      <c r="N45" s="122"/>
      <c r="O45" s="122"/>
      <c r="P45" s="122"/>
      <c r="Q45" s="122"/>
      <c r="R45" s="122"/>
      <c r="S45" s="122"/>
      <c r="T45" s="122"/>
      <c r="U45" s="122"/>
      <c r="V45" s="122"/>
      <c r="W45" s="122"/>
      <c r="X45" s="122"/>
      <c r="Y45" s="122"/>
      <c r="Z45" s="122"/>
      <c r="AA45" s="122"/>
      <c r="AB45" s="122"/>
      <c r="AC45" s="122"/>
      <c r="AD45" s="122"/>
      <c r="AE45" s="122"/>
      <c r="AF45" s="122"/>
      <c r="AG45" s="122"/>
      <c r="AH45" s="122"/>
      <c r="AI45" s="122"/>
      <c r="AJ45" s="122"/>
      <c r="AK45" s="122"/>
      <c r="AL45" s="122"/>
      <c r="AM45" s="122"/>
      <c r="AN45" s="122"/>
      <c r="AO45" s="122"/>
      <c r="AP45" s="122"/>
      <c r="AQ45" s="122"/>
      <c r="AR45" s="122"/>
      <c r="AS45" s="122"/>
      <c r="AT45" s="122"/>
      <c r="AU45" s="122"/>
      <c r="AV45" s="122"/>
      <c r="AW45" s="122"/>
      <c r="AX45" s="122"/>
    </row>
    <row r="46" spans="1:50" ht="15" customHeight="1" x14ac:dyDescent="0.2">
      <c r="A46" s="122"/>
      <c r="B46" s="122"/>
      <c r="C46" s="122"/>
      <c r="D46" s="122"/>
      <c r="E46" s="122"/>
      <c r="F46" s="122"/>
      <c r="G46" s="122"/>
      <c r="H46" s="122"/>
      <c r="I46" s="122"/>
      <c r="J46" s="122"/>
      <c r="K46" s="122"/>
      <c r="L46" s="122"/>
      <c r="M46" s="122"/>
      <c r="N46" s="122"/>
      <c r="O46" s="122"/>
      <c r="P46" s="122"/>
      <c r="Q46" s="122"/>
      <c r="R46" s="122"/>
      <c r="S46" s="122"/>
      <c r="T46" s="122"/>
      <c r="U46" s="122"/>
      <c r="V46" s="122"/>
      <c r="W46" s="122"/>
      <c r="X46" s="122"/>
      <c r="Y46" s="122"/>
      <c r="Z46" s="122"/>
      <c r="AA46" s="122"/>
      <c r="AB46" s="122"/>
      <c r="AC46" s="122"/>
      <c r="AD46" s="122"/>
      <c r="AE46" s="122"/>
      <c r="AF46" s="122"/>
      <c r="AG46" s="122"/>
      <c r="AH46" s="122"/>
      <c r="AI46" s="122"/>
      <c r="AJ46" s="122"/>
      <c r="AK46" s="122"/>
      <c r="AL46" s="122"/>
      <c r="AM46" s="122"/>
      <c r="AN46" s="122"/>
      <c r="AO46" s="122"/>
      <c r="AP46" s="122"/>
      <c r="AQ46" s="122"/>
      <c r="AR46" s="122"/>
      <c r="AS46" s="122"/>
      <c r="AT46" s="122"/>
      <c r="AU46" s="122"/>
      <c r="AV46" s="122"/>
      <c r="AW46" s="122"/>
      <c r="AX46" s="122"/>
    </row>
    <row r="47" spans="1:50" ht="15" customHeight="1" x14ac:dyDescent="0.2">
      <c r="A47" s="122"/>
      <c r="B47" s="122"/>
      <c r="C47" s="122"/>
      <c r="D47" s="122"/>
      <c r="E47" s="122"/>
      <c r="F47" s="122"/>
      <c r="G47" s="122"/>
      <c r="H47" s="122"/>
      <c r="I47" s="122"/>
      <c r="J47" s="122"/>
      <c r="K47" s="122"/>
      <c r="L47" s="122"/>
      <c r="M47" s="122"/>
      <c r="N47" s="122"/>
      <c r="O47" s="122"/>
      <c r="P47" s="122"/>
      <c r="Q47" s="122"/>
      <c r="R47" s="122"/>
      <c r="S47" s="122"/>
      <c r="T47" s="122"/>
      <c r="U47" s="122"/>
      <c r="V47" s="122"/>
      <c r="W47" s="122"/>
      <c r="X47" s="122"/>
      <c r="Y47" s="122"/>
      <c r="Z47" s="122"/>
      <c r="AA47" s="122"/>
      <c r="AB47" s="122"/>
      <c r="AC47" s="122"/>
      <c r="AD47" s="122"/>
      <c r="AE47" s="122"/>
      <c r="AF47" s="122"/>
      <c r="AG47" s="122"/>
      <c r="AH47" s="122"/>
      <c r="AI47" s="122"/>
      <c r="AJ47" s="122"/>
      <c r="AK47" s="122"/>
      <c r="AL47" s="122"/>
      <c r="AM47" s="122"/>
      <c r="AN47" s="122"/>
      <c r="AO47" s="122"/>
      <c r="AP47" s="122"/>
      <c r="AQ47" s="122"/>
      <c r="AR47" s="122"/>
      <c r="AS47" s="122"/>
      <c r="AT47" s="122"/>
      <c r="AU47" s="122"/>
      <c r="AV47" s="122"/>
      <c r="AW47" s="122"/>
      <c r="AX47" s="122"/>
    </row>
    <row r="48" spans="1:50" ht="15" customHeight="1" x14ac:dyDescent="0.2">
      <c r="A48" s="122"/>
      <c r="B48" s="122"/>
      <c r="C48" s="122"/>
      <c r="D48" s="122"/>
      <c r="E48" s="122"/>
      <c r="F48" s="122"/>
      <c r="G48" s="122"/>
      <c r="H48" s="122"/>
      <c r="I48" s="122"/>
      <c r="J48" s="122"/>
      <c r="K48" s="122"/>
      <c r="L48" s="122"/>
      <c r="M48" s="122"/>
      <c r="N48" s="122"/>
      <c r="O48" s="122"/>
      <c r="P48" s="122"/>
      <c r="Q48" s="122"/>
      <c r="R48" s="122"/>
      <c r="S48" s="122"/>
      <c r="T48" s="122"/>
      <c r="U48" s="122"/>
      <c r="V48" s="122"/>
      <c r="W48" s="122"/>
      <c r="X48" s="122"/>
      <c r="Y48" s="122"/>
      <c r="Z48" s="122"/>
      <c r="AA48" s="122"/>
      <c r="AB48" s="122"/>
      <c r="AC48" s="122"/>
      <c r="AD48" s="122"/>
      <c r="AE48" s="122"/>
      <c r="AF48" s="122"/>
      <c r="AG48" s="122"/>
      <c r="AH48" s="122"/>
      <c r="AI48" s="122"/>
      <c r="AJ48" s="122"/>
      <c r="AK48" s="122"/>
      <c r="AL48" s="122"/>
      <c r="AM48" s="122"/>
      <c r="AN48" s="122"/>
      <c r="AO48" s="122"/>
      <c r="AP48" s="122"/>
      <c r="AQ48" s="122"/>
      <c r="AR48" s="122"/>
      <c r="AS48" s="122"/>
      <c r="AT48" s="122"/>
      <c r="AU48" s="122"/>
      <c r="AV48" s="122"/>
      <c r="AW48" s="122"/>
      <c r="AX48" s="122"/>
    </row>
    <row r="49" spans="1:50" ht="15" customHeight="1" x14ac:dyDescent="0.2">
      <c r="A49" s="122"/>
      <c r="B49" s="122"/>
      <c r="C49" s="122"/>
      <c r="D49" s="122"/>
      <c r="E49" s="122"/>
      <c r="F49" s="122"/>
      <c r="G49" s="122"/>
      <c r="H49" s="122"/>
      <c r="I49" s="122"/>
      <c r="J49" s="122"/>
      <c r="K49" s="122"/>
      <c r="L49" s="122"/>
      <c r="M49" s="122"/>
      <c r="N49" s="122"/>
      <c r="O49" s="122"/>
      <c r="P49" s="122"/>
      <c r="Q49" s="122"/>
      <c r="R49" s="122"/>
      <c r="S49" s="122"/>
      <c r="T49" s="122"/>
      <c r="U49" s="122"/>
      <c r="V49" s="122"/>
      <c r="W49" s="122"/>
      <c r="X49" s="122"/>
      <c r="Y49" s="122"/>
      <c r="Z49" s="122"/>
      <c r="AA49" s="122"/>
      <c r="AB49" s="122"/>
      <c r="AC49" s="122"/>
      <c r="AD49" s="122"/>
      <c r="AE49" s="122"/>
      <c r="AF49" s="122"/>
      <c r="AG49" s="122"/>
      <c r="AH49" s="122"/>
      <c r="AI49" s="122"/>
      <c r="AJ49" s="122"/>
      <c r="AK49" s="122"/>
      <c r="AL49" s="122"/>
      <c r="AM49" s="122"/>
      <c r="AN49" s="122"/>
      <c r="AO49" s="122"/>
      <c r="AP49" s="122"/>
      <c r="AQ49" s="122"/>
      <c r="AR49" s="122"/>
      <c r="AS49" s="122"/>
      <c r="AT49" s="122"/>
      <c r="AU49" s="122"/>
      <c r="AV49" s="122"/>
      <c r="AW49" s="122"/>
      <c r="AX49" s="122"/>
    </row>
    <row r="50" spans="1:50" ht="15" customHeight="1" x14ac:dyDescent="0.2">
      <c r="A50" s="122"/>
      <c r="B50" s="122"/>
      <c r="C50" s="122"/>
      <c r="D50" s="122"/>
      <c r="E50" s="122"/>
      <c r="F50" s="122"/>
      <c r="G50" s="122"/>
      <c r="H50" s="122"/>
      <c r="I50" s="122"/>
      <c r="J50" s="122"/>
      <c r="K50" s="122"/>
      <c r="L50" s="122"/>
      <c r="M50" s="122"/>
      <c r="N50" s="122"/>
      <c r="O50" s="122"/>
      <c r="P50" s="122"/>
      <c r="Q50" s="122"/>
      <c r="R50" s="122"/>
      <c r="S50" s="122"/>
      <c r="T50" s="122"/>
      <c r="U50" s="122"/>
      <c r="V50" s="122"/>
      <c r="W50" s="122"/>
      <c r="X50" s="122"/>
      <c r="Y50" s="122"/>
      <c r="Z50" s="122"/>
      <c r="AA50" s="122"/>
      <c r="AB50" s="122"/>
      <c r="AC50" s="122"/>
      <c r="AD50" s="122"/>
      <c r="AE50" s="122"/>
      <c r="AF50" s="122"/>
      <c r="AG50" s="122"/>
      <c r="AH50" s="122"/>
      <c r="AI50" s="122"/>
      <c r="AJ50" s="122"/>
      <c r="AK50" s="122"/>
      <c r="AL50" s="122"/>
      <c r="AM50" s="122"/>
      <c r="AN50" s="122"/>
      <c r="AO50" s="122"/>
      <c r="AP50" s="122"/>
      <c r="AQ50" s="122"/>
      <c r="AR50" s="122"/>
      <c r="AS50" s="122"/>
      <c r="AT50" s="122"/>
      <c r="AU50" s="122"/>
      <c r="AV50" s="122"/>
      <c r="AW50" s="122"/>
      <c r="AX50" s="122"/>
    </row>
    <row r="51" spans="1:50" ht="15" customHeight="1" x14ac:dyDescent="0.2">
      <c r="A51" s="122"/>
      <c r="B51" s="122"/>
      <c r="C51" s="122"/>
      <c r="D51" s="122"/>
      <c r="E51" s="122"/>
      <c r="F51" s="122"/>
      <c r="G51" s="122"/>
      <c r="H51" s="122"/>
      <c r="I51" s="122"/>
      <c r="J51" s="122"/>
      <c r="K51" s="122"/>
      <c r="L51" s="122"/>
      <c r="M51" s="122"/>
      <c r="N51" s="122"/>
      <c r="O51" s="122"/>
      <c r="P51" s="122"/>
      <c r="Q51" s="122"/>
      <c r="R51" s="122"/>
      <c r="S51" s="122"/>
      <c r="T51" s="122"/>
      <c r="U51" s="122"/>
      <c r="V51" s="122"/>
      <c r="W51" s="122"/>
      <c r="X51" s="122"/>
      <c r="Y51" s="122"/>
      <c r="Z51" s="122"/>
      <c r="AA51" s="122"/>
      <c r="AB51" s="122"/>
      <c r="AC51" s="122"/>
      <c r="AD51" s="122"/>
      <c r="AE51" s="122"/>
      <c r="AF51" s="122"/>
      <c r="AG51" s="122"/>
      <c r="AH51" s="122"/>
      <c r="AI51" s="122"/>
      <c r="AJ51" s="122"/>
      <c r="AK51" s="122"/>
      <c r="AL51" s="122"/>
      <c r="AM51" s="122"/>
      <c r="AN51" s="122"/>
      <c r="AO51" s="122"/>
      <c r="AP51" s="122"/>
      <c r="AQ51" s="122"/>
      <c r="AR51" s="122"/>
      <c r="AS51" s="122"/>
      <c r="AT51" s="122"/>
      <c r="AU51" s="122"/>
      <c r="AV51" s="122"/>
      <c r="AW51" s="122"/>
      <c r="AX51" s="122"/>
    </row>
    <row r="52" spans="1:50" ht="15" customHeight="1" x14ac:dyDescent="0.2">
      <c r="A52" s="122"/>
      <c r="B52" s="122"/>
      <c r="C52" s="122"/>
      <c r="D52" s="122"/>
      <c r="E52" s="122"/>
      <c r="F52" s="122"/>
      <c r="G52" s="122"/>
      <c r="H52" s="122"/>
      <c r="I52" s="122"/>
      <c r="J52" s="122"/>
      <c r="K52" s="122"/>
      <c r="L52" s="122"/>
      <c r="M52" s="122"/>
      <c r="N52" s="122"/>
      <c r="O52" s="122"/>
      <c r="P52" s="122"/>
      <c r="Q52" s="122"/>
      <c r="R52" s="122"/>
      <c r="S52" s="122"/>
      <c r="T52" s="122"/>
      <c r="U52" s="122"/>
      <c r="V52" s="122"/>
      <c r="W52" s="122"/>
      <c r="X52" s="122"/>
      <c r="Y52" s="122"/>
      <c r="Z52" s="122"/>
      <c r="AA52" s="122"/>
      <c r="AB52" s="122"/>
      <c r="AC52" s="122"/>
      <c r="AD52" s="122"/>
      <c r="AE52" s="122"/>
      <c r="AF52" s="122"/>
      <c r="AG52" s="122"/>
      <c r="AH52" s="122"/>
      <c r="AI52" s="122"/>
      <c r="AJ52" s="122"/>
      <c r="AK52" s="122"/>
      <c r="AL52" s="122"/>
      <c r="AM52" s="122"/>
      <c r="AN52" s="122"/>
      <c r="AO52" s="122"/>
      <c r="AP52" s="122"/>
      <c r="AQ52" s="122"/>
      <c r="AR52" s="122"/>
      <c r="AS52" s="122"/>
      <c r="AT52" s="122"/>
      <c r="AU52" s="122"/>
      <c r="AV52" s="122"/>
      <c r="AW52" s="122"/>
      <c r="AX52" s="122"/>
    </row>
    <row r="53" spans="1:50" ht="15" customHeight="1" x14ac:dyDescent="0.2">
      <c r="A53" s="122"/>
      <c r="B53" s="122"/>
      <c r="C53" s="122"/>
      <c r="D53" s="122"/>
      <c r="E53" s="122"/>
      <c r="F53" s="122"/>
      <c r="G53" s="122"/>
      <c r="H53" s="122"/>
      <c r="I53" s="122"/>
      <c r="J53" s="122"/>
      <c r="K53" s="122"/>
      <c r="L53" s="122"/>
      <c r="M53" s="122"/>
      <c r="N53" s="122"/>
      <c r="O53" s="122"/>
      <c r="P53" s="122"/>
      <c r="Q53" s="122"/>
      <c r="R53" s="122"/>
      <c r="S53" s="122"/>
      <c r="T53" s="122"/>
      <c r="U53" s="122"/>
      <c r="V53" s="122"/>
      <c r="W53" s="122"/>
      <c r="X53" s="122"/>
      <c r="Y53" s="122"/>
      <c r="Z53" s="122"/>
      <c r="AA53" s="122"/>
      <c r="AB53" s="122"/>
      <c r="AC53" s="122"/>
      <c r="AD53" s="122"/>
      <c r="AE53" s="122"/>
      <c r="AF53" s="122"/>
      <c r="AG53" s="122"/>
      <c r="AH53" s="122"/>
      <c r="AI53" s="122"/>
      <c r="AJ53" s="122"/>
      <c r="AK53" s="122"/>
      <c r="AL53" s="122"/>
      <c r="AM53" s="122"/>
      <c r="AN53" s="122"/>
      <c r="AO53" s="122"/>
      <c r="AP53" s="122"/>
      <c r="AQ53" s="122"/>
      <c r="AR53" s="122"/>
      <c r="AS53" s="122"/>
      <c r="AT53" s="122"/>
      <c r="AU53" s="122"/>
      <c r="AV53" s="122"/>
      <c r="AW53" s="122"/>
      <c r="AX53" s="122"/>
    </row>
    <row r="54" spans="1:50" ht="15" customHeight="1" x14ac:dyDescent="0.2">
      <c r="A54" s="122"/>
      <c r="B54" s="122"/>
      <c r="C54" s="122"/>
      <c r="D54" s="122"/>
      <c r="E54" s="122"/>
      <c r="F54" s="122"/>
      <c r="G54" s="122"/>
      <c r="H54" s="122"/>
      <c r="I54" s="122"/>
      <c r="J54" s="122"/>
      <c r="K54" s="122"/>
      <c r="L54" s="122"/>
      <c r="M54" s="122"/>
      <c r="N54" s="122"/>
      <c r="O54" s="122"/>
      <c r="P54" s="122"/>
      <c r="Q54" s="122"/>
      <c r="R54" s="122"/>
      <c r="S54" s="122"/>
      <c r="T54" s="122"/>
      <c r="U54" s="122"/>
      <c r="V54" s="122"/>
      <c r="W54" s="122"/>
      <c r="X54" s="122"/>
      <c r="Y54" s="122"/>
      <c r="Z54" s="122"/>
      <c r="AA54" s="122"/>
      <c r="AB54" s="122"/>
      <c r="AC54" s="122"/>
      <c r="AD54" s="122"/>
      <c r="AE54" s="122"/>
      <c r="AF54" s="122"/>
      <c r="AG54" s="122"/>
      <c r="AH54" s="122"/>
      <c r="AI54" s="122"/>
      <c r="AJ54" s="122"/>
      <c r="AK54" s="122"/>
      <c r="AL54" s="122"/>
      <c r="AM54" s="122"/>
      <c r="AN54" s="122"/>
      <c r="AO54" s="122"/>
      <c r="AP54" s="122"/>
      <c r="AQ54" s="122"/>
      <c r="AR54" s="122"/>
      <c r="AS54" s="122"/>
      <c r="AT54" s="122"/>
      <c r="AU54" s="122"/>
      <c r="AV54" s="122"/>
      <c r="AW54" s="122"/>
      <c r="AX54" s="122"/>
    </row>
    <row r="55" spans="1:50" ht="15" customHeight="1" x14ac:dyDescent="0.2">
      <c r="A55" s="122"/>
      <c r="B55" s="122"/>
      <c r="C55" s="122"/>
      <c r="D55" s="122"/>
      <c r="E55" s="122"/>
      <c r="F55" s="122"/>
      <c r="G55" s="122"/>
      <c r="H55" s="122"/>
      <c r="I55" s="122"/>
      <c r="J55" s="122"/>
      <c r="K55" s="122"/>
      <c r="L55" s="122"/>
      <c r="M55" s="122"/>
      <c r="N55" s="122"/>
      <c r="O55" s="122"/>
      <c r="P55" s="122"/>
      <c r="Q55" s="122"/>
      <c r="R55" s="122"/>
      <c r="S55" s="122"/>
      <c r="T55" s="122"/>
      <c r="U55" s="122"/>
      <c r="V55" s="122"/>
      <c r="W55" s="122"/>
      <c r="X55" s="122"/>
      <c r="Y55" s="122"/>
      <c r="Z55" s="122"/>
      <c r="AA55" s="122"/>
      <c r="AB55" s="122"/>
      <c r="AC55" s="122"/>
      <c r="AD55" s="122"/>
      <c r="AE55" s="122"/>
      <c r="AF55" s="122"/>
      <c r="AG55" s="122"/>
      <c r="AH55" s="122"/>
      <c r="AI55" s="122"/>
      <c r="AJ55" s="122"/>
      <c r="AK55" s="122"/>
      <c r="AL55" s="122"/>
      <c r="AM55" s="122"/>
      <c r="AN55" s="122"/>
      <c r="AO55" s="122"/>
      <c r="AP55" s="122"/>
      <c r="AQ55" s="122"/>
      <c r="AR55" s="122"/>
      <c r="AS55" s="122"/>
      <c r="AT55" s="122"/>
      <c r="AU55" s="122"/>
      <c r="AV55" s="122"/>
      <c r="AW55" s="122"/>
      <c r="AX55" s="122"/>
    </row>
    <row r="56" spans="1:50" ht="15" customHeight="1" x14ac:dyDescent="0.2">
      <c r="A56" s="122"/>
      <c r="B56" s="122"/>
      <c r="C56" s="122"/>
      <c r="D56" s="122"/>
      <c r="E56" s="122"/>
      <c r="F56" s="122"/>
      <c r="G56" s="122"/>
      <c r="H56" s="122"/>
      <c r="I56" s="122"/>
      <c r="J56" s="122"/>
      <c r="K56" s="122"/>
      <c r="L56" s="122"/>
      <c r="M56" s="122"/>
      <c r="N56" s="122"/>
      <c r="O56" s="122"/>
      <c r="P56" s="122"/>
      <c r="Q56" s="122"/>
      <c r="R56" s="122"/>
      <c r="S56" s="122"/>
      <c r="T56" s="122"/>
      <c r="U56" s="122"/>
      <c r="V56" s="122"/>
      <c r="W56" s="122"/>
      <c r="X56" s="122"/>
      <c r="Y56" s="122"/>
      <c r="Z56" s="122"/>
      <c r="AA56" s="122"/>
      <c r="AB56" s="122"/>
      <c r="AC56" s="122"/>
      <c r="AD56" s="122"/>
      <c r="AE56" s="122"/>
      <c r="AF56" s="122"/>
      <c r="AG56" s="122"/>
      <c r="AH56" s="122"/>
      <c r="AI56" s="122"/>
      <c r="AJ56" s="122"/>
      <c r="AK56" s="122"/>
      <c r="AL56" s="122"/>
      <c r="AM56" s="122"/>
      <c r="AN56" s="122"/>
      <c r="AO56" s="122"/>
      <c r="AP56" s="122"/>
      <c r="AQ56" s="122"/>
      <c r="AR56" s="122"/>
      <c r="AS56" s="122"/>
      <c r="AT56" s="122"/>
      <c r="AU56" s="122"/>
      <c r="AV56" s="122"/>
      <c r="AW56" s="122"/>
      <c r="AX56" s="122"/>
    </row>
    <row r="57" spans="1:50" ht="15" customHeight="1" x14ac:dyDescent="0.2">
      <c r="A57" s="122"/>
      <c r="B57" s="122"/>
      <c r="C57" s="122"/>
      <c r="D57" s="122"/>
      <c r="E57" s="122"/>
      <c r="F57" s="122"/>
      <c r="G57" s="122"/>
      <c r="H57" s="122"/>
      <c r="I57" s="122"/>
      <c r="J57" s="122"/>
      <c r="K57" s="122"/>
      <c r="L57" s="122"/>
      <c r="M57" s="122"/>
      <c r="N57" s="122"/>
      <c r="O57" s="122"/>
      <c r="P57" s="122"/>
      <c r="Q57" s="122"/>
      <c r="R57" s="122"/>
      <c r="S57" s="122"/>
      <c r="T57" s="122"/>
      <c r="U57" s="122"/>
      <c r="V57" s="122"/>
      <c r="W57" s="122"/>
      <c r="X57" s="122"/>
      <c r="Y57" s="122"/>
      <c r="Z57" s="122"/>
      <c r="AA57" s="122"/>
      <c r="AB57" s="122"/>
      <c r="AC57" s="122"/>
      <c r="AD57" s="122"/>
      <c r="AE57" s="122"/>
      <c r="AF57" s="122"/>
      <c r="AG57" s="122"/>
      <c r="AH57" s="122"/>
      <c r="AI57" s="122"/>
      <c r="AJ57" s="122"/>
      <c r="AK57" s="122"/>
      <c r="AL57" s="122"/>
      <c r="AM57" s="122"/>
      <c r="AN57" s="122"/>
      <c r="AO57" s="122"/>
      <c r="AP57" s="122"/>
      <c r="AQ57" s="122"/>
      <c r="AR57" s="122"/>
      <c r="AS57" s="122"/>
      <c r="AT57" s="122"/>
      <c r="AU57" s="122"/>
      <c r="AV57" s="122"/>
      <c r="AW57" s="122"/>
      <c r="AX57" s="122"/>
    </row>
    <row r="58" spans="1:50" ht="15" customHeight="1" x14ac:dyDescent="0.2">
      <c r="A58" s="122"/>
      <c r="B58" s="122"/>
      <c r="C58" s="122"/>
      <c r="D58" s="122"/>
      <c r="E58" s="122"/>
      <c r="F58" s="122"/>
      <c r="G58" s="122"/>
      <c r="H58" s="122"/>
      <c r="I58" s="122"/>
      <c r="J58" s="122"/>
      <c r="K58" s="122"/>
      <c r="L58" s="122"/>
      <c r="M58" s="122"/>
      <c r="N58" s="122"/>
      <c r="O58" s="122"/>
      <c r="P58" s="122"/>
      <c r="Q58" s="122"/>
      <c r="R58" s="122"/>
      <c r="S58" s="122"/>
      <c r="T58" s="122"/>
      <c r="U58" s="122"/>
      <c r="V58" s="122"/>
      <c r="W58" s="122"/>
      <c r="X58" s="122"/>
      <c r="Y58" s="122"/>
      <c r="Z58" s="122"/>
      <c r="AA58" s="122"/>
      <c r="AB58" s="122"/>
      <c r="AC58" s="122"/>
      <c r="AD58" s="122"/>
      <c r="AE58" s="122"/>
      <c r="AF58" s="122"/>
      <c r="AG58" s="122"/>
      <c r="AH58" s="122"/>
      <c r="AI58" s="122"/>
      <c r="AJ58" s="122"/>
      <c r="AK58" s="122"/>
      <c r="AL58" s="122"/>
      <c r="AM58" s="122"/>
      <c r="AN58" s="122"/>
      <c r="AO58" s="122"/>
      <c r="AP58" s="122"/>
      <c r="AQ58" s="122"/>
      <c r="AR58" s="122"/>
      <c r="AS58" s="122"/>
      <c r="AT58" s="122"/>
      <c r="AU58" s="122"/>
      <c r="AV58" s="122"/>
      <c r="AW58" s="122"/>
      <c r="AX58" s="122"/>
    </row>
    <row r="59" spans="1:50" ht="15" customHeight="1" x14ac:dyDescent="0.2">
      <c r="A59" s="122"/>
      <c r="B59" s="122"/>
      <c r="C59" s="122"/>
      <c r="D59" s="122"/>
      <c r="E59" s="122"/>
      <c r="F59" s="122"/>
      <c r="G59" s="122"/>
      <c r="H59" s="122"/>
      <c r="I59" s="122"/>
      <c r="J59" s="122"/>
      <c r="K59" s="122"/>
      <c r="L59" s="122"/>
      <c r="M59" s="122"/>
      <c r="N59" s="122"/>
      <c r="O59" s="122"/>
      <c r="P59" s="122"/>
      <c r="Q59" s="122"/>
      <c r="R59" s="122"/>
      <c r="S59" s="122"/>
      <c r="T59" s="122"/>
      <c r="U59" s="122"/>
      <c r="V59" s="122"/>
      <c r="W59" s="122"/>
      <c r="X59" s="122"/>
      <c r="Y59" s="122"/>
      <c r="Z59" s="122"/>
      <c r="AA59" s="122"/>
      <c r="AB59" s="122"/>
      <c r="AC59" s="122"/>
      <c r="AD59" s="122"/>
      <c r="AE59" s="122"/>
      <c r="AF59" s="122"/>
      <c r="AG59" s="122"/>
      <c r="AH59" s="122"/>
      <c r="AI59" s="122"/>
      <c r="AJ59" s="122"/>
      <c r="AK59" s="122"/>
      <c r="AL59" s="122"/>
      <c r="AM59" s="122"/>
      <c r="AN59" s="122"/>
      <c r="AO59" s="122"/>
      <c r="AP59" s="122"/>
      <c r="AQ59" s="122"/>
      <c r="AR59" s="122"/>
      <c r="AS59" s="122"/>
      <c r="AT59" s="122"/>
      <c r="AU59" s="122"/>
      <c r="AV59" s="122"/>
      <c r="AW59" s="122"/>
      <c r="AX59" s="122"/>
    </row>
    <row r="60" spans="1:50" ht="15" customHeight="1" x14ac:dyDescent="0.2">
      <c r="A60" s="122"/>
      <c r="B60" s="122"/>
      <c r="C60" s="122"/>
      <c r="D60" s="122"/>
      <c r="E60" s="122"/>
      <c r="F60" s="122"/>
      <c r="G60" s="122"/>
      <c r="H60" s="122"/>
      <c r="I60" s="122"/>
      <c r="J60" s="122"/>
      <c r="K60" s="122"/>
      <c r="L60" s="122"/>
      <c r="M60" s="122"/>
      <c r="N60" s="122"/>
      <c r="O60" s="122"/>
      <c r="P60" s="122"/>
      <c r="Q60" s="122"/>
      <c r="R60" s="122"/>
      <c r="S60" s="122"/>
      <c r="T60" s="122"/>
      <c r="U60" s="122"/>
      <c r="V60" s="122"/>
      <c r="W60" s="122"/>
      <c r="X60" s="122"/>
      <c r="Y60" s="122"/>
      <c r="Z60" s="122"/>
      <c r="AA60" s="122"/>
      <c r="AB60" s="122"/>
      <c r="AC60" s="122"/>
      <c r="AD60" s="122"/>
      <c r="AE60" s="122"/>
      <c r="AF60" s="122"/>
      <c r="AG60" s="122"/>
      <c r="AH60" s="122"/>
      <c r="AI60" s="122"/>
      <c r="AJ60" s="122"/>
      <c r="AK60" s="122"/>
      <c r="AL60" s="122"/>
      <c r="AM60" s="122"/>
      <c r="AN60" s="122"/>
      <c r="AO60" s="122"/>
      <c r="AP60" s="122"/>
      <c r="AQ60" s="122"/>
      <c r="AR60" s="122"/>
      <c r="AS60" s="122"/>
      <c r="AT60" s="122"/>
      <c r="AU60" s="122"/>
      <c r="AV60" s="122"/>
      <c r="AW60" s="122"/>
      <c r="AX60" s="122"/>
    </row>
    <row r="61" spans="1:50" ht="15" customHeight="1" x14ac:dyDescent="0.2">
      <c r="A61" s="122"/>
      <c r="B61" s="122"/>
      <c r="C61" s="122"/>
      <c r="D61" s="122"/>
      <c r="E61" s="122"/>
      <c r="F61" s="122"/>
      <c r="G61" s="122"/>
      <c r="H61" s="122"/>
      <c r="I61" s="122"/>
      <c r="J61" s="122"/>
      <c r="K61" s="122"/>
      <c r="L61" s="122"/>
      <c r="M61" s="122"/>
      <c r="N61" s="122"/>
      <c r="O61" s="122"/>
      <c r="P61" s="122"/>
      <c r="Q61" s="122"/>
      <c r="R61" s="122"/>
      <c r="S61" s="122"/>
      <c r="T61" s="122"/>
      <c r="U61" s="122"/>
      <c r="V61" s="122"/>
      <c r="W61" s="122"/>
      <c r="X61" s="122"/>
      <c r="Y61" s="122"/>
      <c r="Z61" s="122"/>
      <c r="AA61" s="122"/>
      <c r="AB61" s="122"/>
      <c r="AC61" s="122"/>
      <c r="AD61" s="122"/>
      <c r="AE61" s="122"/>
      <c r="AF61" s="122"/>
      <c r="AG61" s="122"/>
      <c r="AH61" s="122"/>
      <c r="AI61" s="122"/>
      <c r="AJ61" s="122"/>
      <c r="AK61" s="122"/>
      <c r="AL61" s="122"/>
      <c r="AM61" s="122"/>
      <c r="AN61" s="122"/>
      <c r="AO61" s="122"/>
      <c r="AP61" s="122"/>
      <c r="AQ61" s="122"/>
      <c r="AR61" s="122"/>
      <c r="AS61" s="122"/>
      <c r="AT61" s="122"/>
      <c r="AU61" s="122"/>
      <c r="AV61" s="122"/>
      <c r="AW61" s="122"/>
      <c r="AX61" s="122"/>
    </row>
    <row r="62" spans="1:50" ht="15" customHeight="1" x14ac:dyDescent="0.2">
      <c r="A62" s="122"/>
      <c r="B62" s="122"/>
      <c r="C62" s="122"/>
      <c r="D62" s="122"/>
      <c r="E62" s="122"/>
      <c r="F62" s="122"/>
      <c r="G62" s="122"/>
      <c r="H62" s="122"/>
      <c r="I62" s="122"/>
      <c r="J62" s="122"/>
      <c r="K62" s="122"/>
      <c r="L62" s="122"/>
      <c r="M62" s="122"/>
      <c r="N62" s="122"/>
      <c r="O62" s="122"/>
      <c r="P62" s="122"/>
      <c r="Q62" s="122"/>
      <c r="R62" s="122"/>
      <c r="S62" s="122"/>
      <c r="T62" s="122"/>
      <c r="U62" s="122"/>
      <c r="V62" s="122"/>
      <c r="W62" s="122"/>
      <c r="X62" s="122"/>
      <c r="Y62" s="122"/>
      <c r="Z62" s="122"/>
      <c r="AA62" s="122"/>
      <c r="AB62" s="122"/>
      <c r="AC62" s="122"/>
      <c r="AD62" s="122"/>
      <c r="AE62" s="122"/>
      <c r="AF62" s="122"/>
      <c r="AG62" s="122"/>
      <c r="AH62" s="122"/>
      <c r="AI62" s="122"/>
      <c r="AJ62" s="122"/>
      <c r="AK62" s="122"/>
      <c r="AL62" s="122"/>
      <c r="AM62" s="122"/>
      <c r="AN62" s="122"/>
      <c r="AO62" s="122"/>
      <c r="AP62" s="122"/>
      <c r="AQ62" s="122"/>
      <c r="AR62" s="122"/>
      <c r="AS62" s="122"/>
      <c r="AT62" s="122"/>
      <c r="AU62" s="122"/>
      <c r="AV62" s="122"/>
      <c r="AW62" s="122"/>
      <c r="AX62" s="122"/>
    </row>
    <row r="63" spans="1:50" ht="15" customHeight="1" x14ac:dyDescent="0.2">
      <c r="A63" s="122"/>
      <c r="B63" s="122"/>
      <c r="C63" s="122"/>
      <c r="D63" s="122"/>
      <c r="E63" s="122"/>
      <c r="F63" s="122"/>
      <c r="G63" s="122"/>
      <c r="H63" s="122"/>
      <c r="I63" s="122"/>
      <c r="J63" s="122"/>
      <c r="K63" s="122"/>
      <c r="L63" s="122"/>
      <c r="M63" s="122"/>
      <c r="N63" s="122"/>
      <c r="O63" s="122"/>
      <c r="P63" s="122"/>
      <c r="Q63" s="122"/>
      <c r="R63" s="122"/>
      <c r="S63" s="122"/>
      <c r="T63" s="122"/>
      <c r="U63" s="122"/>
      <c r="V63" s="122"/>
      <c r="W63" s="122"/>
      <c r="X63" s="122"/>
      <c r="Y63" s="122"/>
      <c r="Z63" s="122"/>
      <c r="AA63" s="122"/>
      <c r="AB63" s="122"/>
      <c r="AC63" s="122"/>
      <c r="AD63" s="122"/>
      <c r="AE63" s="122"/>
      <c r="AF63" s="122"/>
      <c r="AG63" s="122"/>
      <c r="AH63" s="122"/>
      <c r="AI63" s="122"/>
      <c r="AJ63" s="122"/>
      <c r="AK63" s="122"/>
      <c r="AL63" s="122"/>
      <c r="AM63" s="122"/>
      <c r="AN63" s="122"/>
      <c r="AO63" s="122"/>
      <c r="AP63" s="122"/>
      <c r="AQ63" s="122"/>
      <c r="AR63" s="122"/>
      <c r="AS63" s="122"/>
      <c r="AT63" s="122"/>
      <c r="AU63" s="122"/>
      <c r="AV63" s="122"/>
      <c r="AW63" s="122"/>
      <c r="AX63" s="122"/>
    </row>
    <row r="64" spans="1:50" ht="15" customHeight="1" x14ac:dyDescent="0.2">
      <c r="A64" s="122"/>
      <c r="B64" s="122"/>
      <c r="C64" s="122"/>
      <c r="D64" s="122"/>
      <c r="E64" s="122"/>
      <c r="F64" s="122"/>
      <c r="G64" s="122"/>
      <c r="H64" s="122"/>
      <c r="I64" s="122"/>
      <c r="J64" s="122"/>
      <c r="K64" s="122"/>
      <c r="L64" s="122"/>
      <c r="M64" s="122"/>
      <c r="N64" s="122"/>
      <c r="O64" s="122"/>
      <c r="P64" s="122"/>
      <c r="Q64" s="122"/>
      <c r="R64" s="122"/>
      <c r="S64" s="122"/>
      <c r="T64" s="122"/>
      <c r="U64" s="122"/>
      <c r="V64" s="122"/>
      <c r="W64" s="122"/>
      <c r="X64" s="122"/>
      <c r="Y64" s="122"/>
      <c r="Z64" s="122"/>
      <c r="AA64" s="122"/>
      <c r="AB64" s="122"/>
      <c r="AC64" s="122"/>
      <c r="AD64" s="122"/>
      <c r="AE64" s="122"/>
      <c r="AF64" s="122"/>
      <c r="AG64" s="122"/>
      <c r="AH64" s="122"/>
      <c r="AI64" s="122"/>
      <c r="AJ64" s="122"/>
      <c r="AK64" s="122"/>
      <c r="AL64" s="122"/>
      <c r="AM64" s="122"/>
      <c r="AN64" s="122"/>
      <c r="AO64" s="122"/>
      <c r="AP64" s="122"/>
      <c r="AQ64" s="122"/>
      <c r="AR64" s="122"/>
      <c r="AS64" s="122"/>
      <c r="AT64" s="122"/>
      <c r="AU64" s="122"/>
      <c r="AV64" s="122"/>
      <c r="AW64" s="122"/>
      <c r="AX64" s="122"/>
    </row>
    <row r="65" spans="1:50" ht="15" customHeight="1" x14ac:dyDescent="0.2">
      <c r="A65" s="122"/>
      <c r="B65" s="122"/>
      <c r="C65" s="122"/>
      <c r="D65" s="122"/>
      <c r="E65" s="122"/>
      <c r="F65" s="122"/>
      <c r="G65" s="122"/>
      <c r="H65" s="122"/>
      <c r="I65" s="122"/>
      <c r="J65" s="122"/>
      <c r="K65" s="122"/>
      <c r="L65" s="122"/>
      <c r="M65" s="122"/>
      <c r="N65" s="122"/>
      <c r="O65" s="122"/>
      <c r="P65" s="122"/>
      <c r="Q65" s="122"/>
      <c r="R65" s="122"/>
      <c r="S65" s="122"/>
      <c r="T65" s="122"/>
      <c r="U65" s="122"/>
      <c r="V65" s="122"/>
      <c r="W65" s="122"/>
      <c r="X65" s="122"/>
      <c r="Y65" s="122"/>
      <c r="Z65" s="122"/>
      <c r="AA65" s="122"/>
      <c r="AB65" s="122"/>
      <c r="AC65" s="122"/>
      <c r="AD65" s="122"/>
      <c r="AE65" s="122"/>
      <c r="AF65" s="122"/>
      <c r="AG65" s="122"/>
      <c r="AH65" s="122"/>
      <c r="AI65" s="122"/>
      <c r="AJ65" s="122"/>
      <c r="AK65" s="122"/>
      <c r="AL65" s="122"/>
      <c r="AM65" s="122"/>
      <c r="AN65" s="122"/>
      <c r="AO65" s="122"/>
      <c r="AP65" s="122"/>
      <c r="AQ65" s="122"/>
      <c r="AR65" s="122"/>
      <c r="AS65" s="122"/>
      <c r="AT65" s="122"/>
      <c r="AU65" s="122"/>
      <c r="AV65" s="122"/>
      <c r="AW65" s="122"/>
      <c r="AX65" s="122"/>
    </row>
    <row r="66" spans="1:50" ht="15" customHeight="1" x14ac:dyDescent="0.2">
      <c r="A66" s="122"/>
      <c r="B66" s="122"/>
      <c r="C66" s="122"/>
      <c r="D66" s="122"/>
      <c r="E66" s="122"/>
      <c r="F66" s="122"/>
      <c r="G66" s="122"/>
      <c r="H66" s="122"/>
      <c r="I66" s="122"/>
      <c r="J66" s="122"/>
      <c r="K66" s="122"/>
      <c r="L66" s="122"/>
      <c r="M66" s="122"/>
      <c r="N66" s="122"/>
      <c r="O66" s="122"/>
      <c r="P66" s="122"/>
      <c r="Q66" s="122"/>
      <c r="R66" s="122"/>
      <c r="S66" s="122"/>
      <c r="T66" s="122"/>
      <c r="U66" s="122"/>
      <c r="V66" s="122"/>
      <c r="W66" s="122"/>
      <c r="X66" s="122"/>
      <c r="Y66" s="122"/>
      <c r="Z66" s="122"/>
      <c r="AA66" s="122"/>
      <c r="AB66" s="122"/>
      <c r="AC66" s="122"/>
      <c r="AD66" s="122"/>
      <c r="AE66" s="122"/>
      <c r="AF66" s="122"/>
      <c r="AG66" s="122"/>
      <c r="AH66" s="122"/>
      <c r="AI66" s="122"/>
      <c r="AJ66" s="122"/>
      <c r="AK66" s="122"/>
      <c r="AL66" s="122"/>
      <c r="AM66" s="122"/>
      <c r="AN66" s="122"/>
      <c r="AO66" s="122"/>
      <c r="AP66" s="122"/>
      <c r="AQ66" s="122"/>
      <c r="AR66" s="122"/>
      <c r="AS66" s="122"/>
      <c r="AT66" s="122"/>
      <c r="AU66" s="122"/>
      <c r="AV66" s="122"/>
      <c r="AW66" s="122"/>
      <c r="AX66" s="122"/>
    </row>
    <row r="67" spans="1:50" ht="15" customHeight="1" x14ac:dyDescent="0.2">
      <c r="A67" s="122"/>
      <c r="B67" s="122"/>
      <c r="C67" s="122"/>
      <c r="D67" s="122"/>
      <c r="E67" s="122"/>
      <c r="F67" s="122"/>
      <c r="G67" s="122"/>
      <c r="H67" s="122"/>
      <c r="I67" s="122"/>
      <c r="J67" s="122"/>
      <c r="K67" s="122"/>
      <c r="L67" s="122"/>
      <c r="M67" s="122"/>
      <c r="N67" s="122"/>
      <c r="O67" s="122"/>
      <c r="P67" s="122"/>
      <c r="Q67" s="122"/>
      <c r="R67" s="122"/>
      <c r="S67" s="122"/>
      <c r="T67" s="122"/>
      <c r="U67" s="122"/>
      <c r="V67" s="122"/>
      <c r="W67" s="122"/>
      <c r="X67" s="122"/>
      <c r="Y67" s="122"/>
      <c r="Z67" s="122"/>
      <c r="AA67" s="122"/>
      <c r="AB67" s="122"/>
      <c r="AC67" s="122"/>
      <c r="AD67" s="122"/>
      <c r="AE67" s="122"/>
      <c r="AF67" s="122"/>
      <c r="AG67" s="122"/>
      <c r="AH67" s="122"/>
      <c r="AI67" s="122"/>
      <c r="AJ67" s="122"/>
      <c r="AK67" s="122"/>
      <c r="AL67" s="122"/>
      <c r="AM67" s="122"/>
      <c r="AN67" s="122"/>
      <c r="AO67" s="122"/>
      <c r="AP67" s="122"/>
      <c r="AQ67" s="122"/>
      <c r="AR67" s="122"/>
      <c r="AS67" s="122"/>
      <c r="AT67" s="122"/>
      <c r="AU67" s="122"/>
      <c r="AV67" s="122"/>
      <c r="AW67" s="122"/>
      <c r="AX67" s="122"/>
    </row>
    <row r="68" spans="1:50" ht="15" customHeight="1" x14ac:dyDescent="0.2">
      <c r="A68" s="122"/>
      <c r="B68" s="122"/>
      <c r="C68" s="122"/>
      <c r="D68" s="122"/>
      <c r="E68" s="122"/>
      <c r="F68" s="122"/>
      <c r="G68" s="122"/>
      <c r="H68" s="122"/>
      <c r="I68" s="122"/>
      <c r="J68" s="122"/>
      <c r="K68" s="122"/>
      <c r="L68" s="122"/>
      <c r="M68" s="122"/>
      <c r="N68" s="122"/>
      <c r="O68" s="122"/>
      <c r="P68" s="122"/>
      <c r="Q68" s="122"/>
      <c r="R68" s="122"/>
      <c r="S68" s="122"/>
      <c r="T68" s="122"/>
      <c r="U68" s="122"/>
      <c r="V68" s="122"/>
      <c r="W68" s="122"/>
      <c r="X68" s="122"/>
      <c r="Y68" s="122"/>
      <c r="Z68" s="122"/>
      <c r="AA68" s="122"/>
      <c r="AB68" s="122"/>
      <c r="AC68" s="122"/>
      <c r="AD68" s="122"/>
      <c r="AE68" s="122"/>
      <c r="AF68" s="122"/>
      <c r="AG68" s="122"/>
      <c r="AH68" s="122"/>
      <c r="AI68" s="122"/>
      <c r="AJ68" s="122"/>
      <c r="AK68" s="122"/>
      <c r="AL68" s="122"/>
      <c r="AM68" s="122"/>
      <c r="AN68" s="122"/>
      <c r="AO68" s="122"/>
      <c r="AP68" s="122"/>
      <c r="AQ68" s="122"/>
      <c r="AR68" s="122"/>
      <c r="AS68" s="122"/>
      <c r="AT68" s="122"/>
      <c r="AU68" s="122"/>
      <c r="AV68" s="122"/>
      <c r="AW68" s="122"/>
      <c r="AX68" s="122"/>
    </row>
    <row r="69" spans="1:50" ht="15" customHeight="1" x14ac:dyDescent="0.2">
      <c r="A69" s="122"/>
      <c r="B69" s="122"/>
      <c r="C69" s="122"/>
      <c r="D69" s="122"/>
      <c r="E69" s="122"/>
      <c r="F69" s="122"/>
      <c r="G69" s="122"/>
      <c r="H69" s="122"/>
      <c r="I69" s="122"/>
      <c r="J69" s="122"/>
      <c r="K69" s="122"/>
      <c r="L69" s="122"/>
      <c r="M69" s="122"/>
      <c r="N69" s="122"/>
      <c r="O69" s="122"/>
      <c r="P69" s="122"/>
      <c r="Q69" s="122"/>
      <c r="R69" s="122"/>
      <c r="S69" s="122"/>
      <c r="T69" s="122"/>
      <c r="U69" s="122"/>
      <c r="V69" s="122"/>
      <c r="W69" s="122"/>
      <c r="X69" s="122"/>
      <c r="Y69" s="122"/>
      <c r="Z69" s="122"/>
      <c r="AA69" s="122"/>
      <c r="AB69" s="122"/>
      <c r="AC69" s="122"/>
      <c r="AD69" s="122"/>
      <c r="AE69" s="122"/>
      <c r="AF69" s="122"/>
      <c r="AG69" s="122"/>
      <c r="AH69" s="122"/>
      <c r="AI69" s="122"/>
      <c r="AJ69" s="122"/>
      <c r="AK69" s="122"/>
      <c r="AL69" s="122"/>
      <c r="AM69" s="122"/>
      <c r="AN69" s="122"/>
      <c r="AO69" s="122"/>
      <c r="AP69" s="122"/>
      <c r="AQ69" s="122"/>
      <c r="AR69" s="122"/>
      <c r="AS69" s="122"/>
      <c r="AT69" s="122"/>
      <c r="AU69" s="122"/>
      <c r="AV69" s="122"/>
      <c r="AW69" s="122"/>
      <c r="AX69" s="122"/>
    </row>
    <row r="70" spans="1:50" ht="15" customHeight="1" x14ac:dyDescent="0.2">
      <c r="A70" s="122"/>
      <c r="B70" s="122"/>
      <c r="C70" s="122"/>
      <c r="D70" s="122"/>
      <c r="E70" s="122"/>
      <c r="F70" s="122"/>
      <c r="G70" s="122"/>
      <c r="H70" s="122"/>
      <c r="I70" s="122"/>
      <c r="J70" s="122"/>
      <c r="K70" s="122"/>
      <c r="L70" s="122"/>
      <c r="M70" s="122"/>
      <c r="N70" s="122"/>
      <c r="O70" s="122"/>
      <c r="P70" s="122"/>
      <c r="Q70" s="122"/>
      <c r="R70" s="122"/>
      <c r="S70" s="122"/>
      <c r="T70" s="122"/>
      <c r="U70" s="122"/>
      <c r="V70" s="122"/>
      <c r="W70" s="122"/>
      <c r="X70" s="122"/>
      <c r="Y70" s="122"/>
      <c r="Z70" s="122"/>
      <c r="AA70" s="122"/>
      <c r="AB70" s="122"/>
      <c r="AC70" s="122"/>
      <c r="AD70" s="122"/>
      <c r="AE70" s="122"/>
      <c r="AF70" s="122"/>
      <c r="AG70" s="122"/>
      <c r="AH70" s="122"/>
      <c r="AI70" s="122"/>
      <c r="AJ70" s="122"/>
      <c r="AK70" s="122"/>
      <c r="AL70" s="122"/>
      <c r="AM70" s="122"/>
      <c r="AN70" s="122"/>
      <c r="AO70" s="122"/>
      <c r="AP70" s="122"/>
      <c r="AQ70" s="122"/>
      <c r="AR70" s="122"/>
      <c r="AS70" s="122"/>
      <c r="AT70" s="122"/>
      <c r="AU70" s="122"/>
      <c r="AV70" s="122"/>
      <c r="AW70" s="122"/>
      <c r="AX70" s="122"/>
    </row>
    <row r="71" spans="1:50" ht="15" customHeight="1" x14ac:dyDescent="0.2">
      <c r="A71" s="122"/>
      <c r="B71" s="122"/>
      <c r="C71" s="122"/>
      <c r="D71" s="122"/>
      <c r="E71" s="122"/>
      <c r="F71" s="122"/>
      <c r="G71" s="122"/>
      <c r="H71" s="122"/>
      <c r="I71" s="122"/>
      <c r="J71" s="122"/>
      <c r="K71" s="122"/>
      <c r="L71" s="122"/>
      <c r="M71" s="122"/>
      <c r="N71" s="122"/>
      <c r="O71" s="122"/>
      <c r="P71" s="122"/>
      <c r="Q71" s="122"/>
      <c r="R71" s="122"/>
      <c r="S71" s="122"/>
      <c r="T71" s="122"/>
      <c r="U71" s="122"/>
      <c r="V71" s="122"/>
      <c r="W71" s="122"/>
      <c r="X71" s="122"/>
      <c r="Y71" s="122"/>
      <c r="Z71" s="122"/>
      <c r="AA71" s="122"/>
      <c r="AB71" s="122"/>
      <c r="AC71" s="122"/>
      <c r="AD71" s="122"/>
      <c r="AE71" s="122"/>
      <c r="AF71" s="122"/>
      <c r="AG71" s="122"/>
      <c r="AH71" s="122"/>
      <c r="AI71" s="122"/>
      <c r="AJ71" s="122"/>
      <c r="AK71" s="122"/>
      <c r="AL71" s="122"/>
      <c r="AM71" s="122"/>
      <c r="AN71" s="122"/>
      <c r="AO71" s="122"/>
      <c r="AP71" s="122"/>
      <c r="AQ71" s="122"/>
      <c r="AR71" s="122"/>
      <c r="AS71" s="122"/>
      <c r="AT71" s="122"/>
      <c r="AU71" s="122"/>
      <c r="AV71" s="122"/>
      <c r="AW71" s="122"/>
      <c r="AX71" s="122"/>
    </row>
    <row r="72" spans="1:50" ht="15" customHeight="1" x14ac:dyDescent="0.2">
      <c r="A72" s="122"/>
      <c r="B72" s="122"/>
      <c r="C72" s="122"/>
      <c r="D72" s="122"/>
      <c r="E72" s="122"/>
      <c r="F72" s="122"/>
      <c r="G72" s="122"/>
      <c r="H72" s="122"/>
      <c r="I72" s="122"/>
      <c r="J72" s="122"/>
      <c r="K72" s="122"/>
      <c r="L72" s="122"/>
      <c r="M72" s="122"/>
      <c r="N72" s="122"/>
      <c r="O72" s="122"/>
      <c r="P72" s="122"/>
      <c r="Q72" s="122"/>
      <c r="R72" s="122"/>
      <c r="S72" s="122"/>
      <c r="T72" s="122"/>
      <c r="U72" s="122"/>
      <c r="V72" s="122"/>
      <c r="W72" s="122"/>
      <c r="X72" s="122"/>
      <c r="Y72" s="122"/>
      <c r="Z72" s="122"/>
      <c r="AA72" s="122"/>
      <c r="AB72" s="122"/>
      <c r="AC72" s="122"/>
      <c r="AD72" s="122"/>
      <c r="AE72" s="122"/>
      <c r="AF72" s="122"/>
      <c r="AG72" s="122"/>
      <c r="AH72" s="122"/>
      <c r="AI72" s="122"/>
      <c r="AJ72" s="122"/>
      <c r="AK72" s="122"/>
      <c r="AL72" s="122"/>
      <c r="AM72" s="122"/>
      <c r="AN72" s="122"/>
      <c r="AO72" s="122"/>
      <c r="AP72" s="122"/>
      <c r="AQ72" s="122"/>
      <c r="AR72" s="122"/>
      <c r="AS72" s="122"/>
      <c r="AT72" s="122"/>
      <c r="AU72" s="122"/>
      <c r="AV72" s="122"/>
      <c r="AW72" s="122"/>
      <c r="AX72" s="122"/>
    </row>
    <row r="73" spans="1:50" ht="15" customHeight="1" x14ac:dyDescent="0.2">
      <c r="A73" s="122"/>
      <c r="B73" s="122"/>
      <c r="C73" s="122"/>
      <c r="D73" s="122"/>
      <c r="E73" s="122"/>
      <c r="F73" s="122"/>
      <c r="G73" s="122"/>
      <c r="H73" s="122"/>
      <c r="I73" s="122"/>
      <c r="J73" s="122"/>
      <c r="K73" s="122"/>
      <c r="L73" s="122"/>
      <c r="M73" s="122"/>
      <c r="N73" s="122"/>
      <c r="O73" s="122"/>
      <c r="P73" s="122"/>
      <c r="Q73" s="122"/>
      <c r="R73" s="122"/>
      <c r="S73" s="122"/>
      <c r="T73" s="122"/>
      <c r="U73" s="122"/>
      <c r="V73" s="122"/>
      <c r="W73" s="122"/>
      <c r="X73" s="122"/>
      <c r="Y73" s="122"/>
      <c r="Z73" s="122"/>
      <c r="AA73" s="122"/>
      <c r="AB73" s="122"/>
      <c r="AC73" s="122"/>
      <c r="AD73" s="122"/>
      <c r="AE73" s="122"/>
      <c r="AF73" s="122"/>
      <c r="AG73" s="122"/>
      <c r="AH73" s="122"/>
      <c r="AI73" s="122"/>
      <c r="AJ73" s="122"/>
      <c r="AK73" s="122"/>
      <c r="AL73" s="122"/>
      <c r="AM73" s="122"/>
      <c r="AN73" s="122"/>
      <c r="AO73" s="122"/>
      <c r="AP73" s="122"/>
      <c r="AQ73" s="122"/>
      <c r="AR73" s="122"/>
      <c r="AS73" s="122"/>
      <c r="AT73" s="122"/>
      <c r="AU73" s="122"/>
      <c r="AV73" s="122"/>
      <c r="AW73" s="122"/>
      <c r="AX73" s="122"/>
    </row>
    <row r="74" spans="1:50" ht="15" customHeight="1" x14ac:dyDescent="0.2">
      <c r="A74" s="122"/>
      <c r="B74" s="122"/>
      <c r="C74" s="122"/>
      <c r="D74" s="122"/>
      <c r="E74" s="122"/>
      <c r="F74" s="122"/>
      <c r="G74" s="122"/>
      <c r="H74" s="122"/>
      <c r="I74" s="122"/>
      <c r="J74" s="122"/>
      <c r="K74" s="122"/>
      <c r="L74" s="122"/>
      <c r="M74" s="122"/>
      <c r="N74" s="122"/>
      <c r="O74" s="122"/>
      <c r="P74" s="122"/>
      <c r="Q74" s="122"/>
      <c r="R74" s="122"/>
      <c r="S74" s="122"/>
      <c r="T74" s="122"/>
      <c r="U74" s="122"/>
      <c r="V74" s="122"/>
      <c r="W74" s="122"/>
      <c r="X74" s="122"/>
      <c r="Y74" s="122"/>
      <c r="Z74" s="122"/>
      <c r="AA74" s="122"/>
      <c r="AB74" s="122"/>
      <c r="AC74" s="122"/>
      <c r="AD74" s="122"/>
      <c r="AE74" s="122"/>
      <c r="AF74" s="122"/>
      <c r="AG74" s="122"/>
      <c r="AH74" s="122"/>
      <c r="AI74" s="122"/>
      <c r="AJ74" s="122"/>
      <c r="AK74" s="122"/>
      <c r="AL74" s="122"/>
      <c r="AM74" s="122"/>
      <c r="AN74" s="122"/>
      <c r="AO74" s="122"/>
      <c r="AP74" s="122"/>
      <c r="AQ74" s="122"/>
      <c r="AR74" s="122"/>
      <c r="AS74" s="122"/>
      <c r="AT74" s="122"/>
      <c r="AU74" s="122"/>
      <c r="AV74" s="122"/>
      <c r="AW74" s="122"/>
      <c r="AX74" s="122"/>
    </row>
    <row r="75" spans="1:50" ht="15" customHeight="1" x14ac:dyDescent="0.2">
      <c r="A75" s="122"/>
      <c r="B75" s="122"/>
      <c r="C75" s="122"/>
      <c r="D75" s="122"/>
      <c r="E75" s="122"/>
      <c r="F75" s="122"/>
      <c r="G75" s="122"/>
      <c r="H75" s="122"/>
      <c r="I75" s="122"/>
      <c r="J75" s="122"/>
      <c r="K75" s="122"/>
      <c r="L75" s="122"/>
      <c r="M75" s="122"/>
      <c r="N75" s="122"/>
      <c r="O75" s="122"/>
      <c r="P75" s="122"/>
      <c r="Q75" s="122"/>
      <c r="R75" s="122"/>
      <c r="S75" s="122"/>
      <c r="T75" s="122"/>
      <c r="U75" s="122"/>
      <c r="V75" s="122"/>
      <c r="W75" s="122"/>
      <c r="X75" s="122"/>
      <c r="Y75" s="122"/>
      <c r="Z75" s="122"/>
      <c r="AA75" s="122"/>
      <c r="AB75" s="122"/>
      <c r="AC75" s="122"/>
      <c r="AD75" s="122"/>
      <c r="AE75" s="122"/>
      <c r="AF75" s="122"/>
      <c r="AG75" s="122"/>
      <c r="AH75" s="122"/>
      <c r="AI75" s="122"/>
      <c r="AJ75" s="122"/>
      <c r="AK75" s="122"/>
      <c r="AL75" s="122"/>
      <c r="AM75" s="122"/>
      <c r="AN75" s="122"/>
      <c r="AO75" s="122"/>
      <c r="AP75" s="122"/>
      <c r="AQ75" s="122"/>
      <c r="AR75" s="122"/>
      <c r="AS75" s="122"/>
      <c r="AT75" s="122"/>
      <c r="AU75" s="122"/>
      <c r="AV75" s="122"/>
      <c r="AW75" s="122"/>
      <c r="AX75" s="122"/>
    </row>
    <row r="76" spans="1:50" ht="15" customHeight="1" x14ac:dyDescent="0.2">
      <c r="A76" s="122"/>
      <c r="B76" s="122"/>
      <c r="C76" s="122"/>
      <c r="D76" s="122"/>
      <c r="E76" s="122"/>
      <c r="F76" s="122"/>
      <c r="G76" s="122"/>
      <c r="H76" s="122"/>
      <c r="I76" s="122"/>
      <c r="J76" s="122"/>
      <c r="K76" s="122"/>
      <c r="L76" s="122"/>
      <c r="M76" s="122"/>
      <c r="N76" s="122"/>
      <c r="O76" s="122"/>
      <c r="P76" s="122"/>
      <c r="Q76" s="122"/>
      <c r="R76" s="122"/>
      <c r="S76" s="122"/>
      <c r="T76" s="122"/>
      <c r="U76" s="122"/>
      <c r="V76" s="122"/>
      <c r="W76" s="122"/>
      <c r="X76" s="122"/>
      <c r="Y76" s="122"/>
      <c r="Z76" s="122"/>
      <c r="AA76" s="122"/>
      <c r="AB76" s="122"/>
      <c r="AC76" s="122"/>
      <c r="AD76" s="122"/>
      <c r="AE76" s="122"/>
      <c r="AF76" s="122"/>
      <c r="AG76" s="122"/>
      <c r="AH76" s="122"/>
      <c r="AI76" s="122"/>
      <c r="AJ76" s="122"/>
      <c r="AK76" s="122"/>
      <c r="AL76" s="122"/>
      <c r="AM76" s="122"/>
      <c r="AN76" s="122"/>
      <c r="AO76" s="122"/>
      <c r="AP76" s="122"/>
      <c r="AQ76" s="122"/>
      <c r="AR76" s="122"/>
      <c r="AS76" s="122"/>
      <c r="AT76" s="122"/>
      <c r="AU76" s="122"/>
      <c r="AV76" s="122"/>
      <c r="AW76" s="122"/>
      <c r="AX76" s="122"/>
    </row>
    <row r="77" spans="1:50" ht="15" customHeight="1" x14ac:dyDescent="0.2">
      <c r="A77" s="122"/>
      <c r="B77" s="122"/>
      <c r="C77" s="122"/>
      <c r="D77" s="122"/>
      <c r="E77" s="122"/>
      <c r="F77" s="122"/>
      <c r="G77" s="122"/>
      <c r="H77" s="122"/>
      <c r="I77" s="122"/>
      <c r="J77" s="122"/>
      <c r="K77" s="122"/>
      <c r="L77" s="122"/>
      <c r="M77" s="122"/>
      <c r="N77" s="122"/>
      <c r="O77" s="122"/>
      <c r="P77" s="122"/>
      <c r="Q77" s="122"/>
      <c r="R77" s="122"/>
      <c r="S77" s="122"/>
      <c r="T77" s="122"/>
      <c r="U77" s="122"/>
      <c r="V77" s="122"/>
      <c r="W77" s="122"/>
      <c r="X77" s="122"/>
      <c r="Y77" s="122"/>
      <c r="Z77" s="122"/>
      <c r="AA77" s="122"/>
      <c r="AB77" s="122"/>
      <c r="AC77" s="122"/>
      <c r="AD77" s="122"/>
      <c r="AE77" s="122"/>
      <c r="AF77" s="122"/>
      <c r="AG77" s="122"/>
      <c r="AH77" s="122"/>
      <c r="AI77" s="122"/>
      <c r="AJ77" s="122"/>
      <c r="AK77" s="122"/>
      <c r="AL77" s="122"/>
      <c r="AM77" s="122"/>
      <c r="AN77" s="122"/>
      <c r="AO77" s="122"/>
      <c r="AP77" s="122"/>
      <c r="AQ77" s="122"/>
      <c r="AR77" s="122"/>
      <c r="AS77" s="122"/>
      <c r="AT77" s="122"/>
      <c r="AU77" s="122"/>
      <c r="AV77" s="122"/>
      <c r="AW77" s="122"/>
      <c r="AX77" s="122"/>
    </row>
    <row r="78" spans="1:50" ht="15" customHeight="1" x14ac:dyDescent="0.2">
      <c r="A78" s="122"/>
      <c r="B78" s="122"/>
      <c r="C78" s="122"/>
      <c r="D78" s="122"/>
      <c r="E78" s="122"/>
      <c r="F78" s="122"/>
      <c r="G78" s="122"/>
      <c r="H78" s="122"/>
      <c r="I78" s="122"/>
      <c r="J78" s="122"/>
      <c r="K78" s="122"/>
      <c r="L78" s="122"/>
      <c r="M78" s="122"/>
      <c r="N78" s="122"/>
      <c r="O78" s="122"/>
      <c r="P78" s="122"/>
      <c r="Q78" s="122"/>
      <c r="R78" s="122"/>
      <c r="S78" s="122"/>
      <c r="T78" s="122"/>
      <c r="U78" s="122"/>
      <c r="V78" s="122"/>
      <c r="W78" s="122"/>
      <c r="X78" s="122"/>
      <c r="Y78" s="122"/>
      <c r="Z78" s="122"/>
      <c r="AA78" s="122"/>
      <c r="AB78" s="122"/>
      <c r="AC78" s="122"/>
      <c r="AD78" s="122"/>
      <c r="AE78" s="122"/>
      <c r="AF78" s="122"/>
      <c r="AG78" s="122"/>
      <c r="AH78" s="122"/>
      <c r="AI78" s="122"/>
      <c r="AJ78" s="122"/>
      <c r="AK78" s="122"/>
      <c r="AL78" s="122"/>
      <c r="AM78" s="122"/>
      <c r="AN78" s="122"/>
      <c r="AO78" s="122"/>
      <c r="AP78" s="122"/>
      <c r="AQ78" s="122"/>
      <c r="AR78" s="122"/>
      <c r="AS78" s="122"/>
      <c r="AT78" s="122"/>
      <c r="AU78" s="122"/>
      <c r="AV78" s="122"/>
      <c r="AW78" s="122"/>
      <c r="AX78" s="122"/>
    </row>
    <row r="79" spans="1:50" ht="15" customHeight="1" x14ac:dyDescent="0.2">
      <c r="A79" s="122"/>
      <c r="B79" s="122"/>
      <c r="C79" s="122"/>
      <c r="D79" s="122"/>
      <c r="E79" s="122"/>
      <c r="F79" s="122"/>
      <c r="G79" s="122"/>
      <c r="H79" s="122"/>
      <c r="I79" s="122"/>
      <c r="J79" s="122"/>
      <c r="K79" s="122"/>
      <c r="L79" s="122"/>
      <c r="M79" s="122"/>
      <c r="N79" s="122"/>
      <c r="O79" s="122"/>
      <c r="P79" s="122"/>
      <c r="Q79" s="122"/>
      <c r="R79" s="122"/>
      <c r="S79" s="122"/>
      <c r="T79" s="122"/>
      <c r="U79" s="122"/>
      <c r="V79" s="122"/>
      <c r="W79" s="122"/>
      <c r="X79" s="122"/>
      <c r="Y79" s="122"/>
      <c r="Z79" s="122"/>
      <c r="AA79" s="122"/>
      <c r="AB79" s="122"/>
      <c r="AC79" s="122"/>
      <c r="AD79" s="122"/>
      <c r="AE79" s="122"/>
      <c r="AF79" s="122"/>
      <c r="AG79" s="122"/>
      <c r="AH79" s="122"/>
      <c r="AI79" s="122"/>
      <c r="AJ79" s="122"/>
      <c r="AK79" s="122"/>
      <c r="AL79" s="122"/>
      <c r="AM79" s="122"/>
      <c r="AN79" s="122"/>
      <c r="AO79" s="122"/>
      <c r="AP79" s="122"/>
      <c r="AQ79" s="122"/>
      <c r="AR79" s="122"/>
      <c r="AS79" s="122"/>
      <c r="AT79" s="122"/>
      <c r="AU79" s="122"/>
      <c r="AV79" s="122"/>
      <c r="AW79" s="122"/>
      <c r="AX79" s="122"/>
    </row>
    <row r="80" spans="1:50" ht="15" customHeight="1" x14ac:dyDescent="0.2">
      <c r="A80" s="122"/>
      <c r="B80" s="122"/>
      <c r="C80" s="122"/>
      <c r="D80" s="122"/>
      <c r="E80" s="122"/>
      <c r="F80" s="122"/>
      <c r="G80" s="122"/>
      <c r="H80" s="122"/>
      <c r="I80" s="122"/>
      <c r="J80" s="122"/>
      <c r="K80" s="122"/>
      <c r="L80" s="122"/>
      <c r="M80" s="122"/>
      <c r="N80" s="122"/>
      <c r="O80" s="122"/>
      <c r="P80" s="122"/>
      <c r="Q80" s="122"/>
      <c r="R80" s="122"/>
      <c r="S80" s="122"/>
      <c r="T80" s="122"/>
      <c r="U80" s="122"/>
      <c r="V80" s="122"/>
      <c r="W80" s="122"/>
      <c r="X80" s="122"/>
      <c r="Y80" s="122"/>
      <c r="Z80" s="122"/>
      <c r="AA80" s="122"/>
      <c r="AB80" s="122"/>
      <c r="AC80" s="122"/>
      <c r="AD80" s="122"/>
      <c r="AE80" s="122"/>
      <c r="AF80" s="122"/>
      <c r="AG80" s="122"/>
      <c r="AH80" s="122"/>
      <c r="AI80" s="122"/>
      <c r="AJ80" s="122"/>
      <c r="AK80" s="122"/>
      <c r="AL80" s="122"/>
      <c r="AM80" s="122"/>
      <c r="AN80" s="122"/>
      <c r="AO80" s="122"/>
      <c r="AP80" s="122"/>
      <c r="AQ80" s="122"/>
      <c r="AR80" s="122"/>
      <c r="AS80" s="122"/>
      <c r="AT80" s="122"/>
      <c r="AU80" s="122"/>
      <c r="AV80" s="122"/>
      <c r="AW80" s="122"/>
      <c r="AX80" s="122"/>
    </row>
    <row r="81" spans="1:50" ht="15" customHeight="1" x14ac:dyDescent="0.2">
      <c r="A81" s="122"/>
      <c r="B81" s="122"/>
      <c r="C81" s="122"/>
      <c r="D81" s="122"/>
      <c r="E81" s="122"/>
      <c r="F81" s="122"/>
      <c r="G81" s="122"/>
      <c r="H81" s="122"/>
      <c r="I81" s="122"/>
      <c r="J81" s="122"/>
      <c r="K81" s="122"/>
      <c r="L81" s="122"/>
      <c r="M81" s="122"/>
      <c r="N81" s="122"/>
      <c r="O81" s="122"/>
      <c r="P81" s="122"/>
      <c r="Q81" s="122"/>
      <c r="R81" s="122"/>
      <c r="S81" s="122"/>
      <c r="T81" s="122"/>
      <c r="U81" s="122"/>
      <c r="V81" s="122"/>
      <c r="W81" s="122"/>
      <c r="X81" s="122"/>
      <c r="Y81" s="122"/>
      <c r="Z81" s="122"/>
      <c r="AA81" s="122"/>
      <c r="AB81" s="122"/>
      <c r="AC81" s="122"/>
      <c r="AD81" s="122"/>
      <c r="AE81" s="122"/>
      <c r="AF81" s="122"/>
      <c r="AG81" s="122"/>
      <c r="AH81" s="122"/>
      <c r="AI81" s="122"/>
      <c r="AJ81" s="122"/>
      <c r="AK81" s="122"/>
      <c r="AL81" s="122"/>
      <c r="AM81" s="122"/>
      <c r="AN81" s="122"/>
      <c r="AO81" s="122"/>
      <c r="AP81" s="122"/>
      <c r="AQ81" s="122"/>
      <c r="AR81" s="122"/>
      <c r="AS81" s="122"/>
      <c r="AT81" s="122"/>
      <c r="AU81" s="122"/>
      <c r="AV81" s="122"/>
      <c r="AW81" s="122"/>
      <c r="AX81" s="122"/>
    </row>
    <row r="82" spans="1:50" ht="15" customHeight="1" x14ac:dyDescent="0.2">
      <c r="A82" s="122"/>
      <c r="B82" s="122"/>
      <c r="C82" s="122"/>
      <c r="D82" s="122"/>
      <c r="E82" s="122"/>
      <c r="F82" s="122"/>
      <c r="G82" s="122"/>
      <c r="H82" s="122"/>
      <c r="I82" s="122"/>
      <c r="J82" s="122"/>
      <c r="K82" s="122"/>
      <c r="L82" s="122"/>
      <c r="M82" s="122"/>
      <c r="N82" s="122"/>
      <c r="O82" s="122"/>
      <c r="P82" s="122"/>
      <c r="Q82" s="122"/>
      <c r="R82" s="122"/>
      <c r="S82" s="122"/>
      <c r="T82" s="122"/>
      <c r="U82" s="122"/>
      <c r="V82" s="122"/>
      <c r="W82" s="122"/>
      <c r="X82" s="122"/>
      <c r="Y82" s="122"/>
      <c r="Z82" s="122"/>
      <c r="AA82" s="122"/>
      <c r="AB82" s="122"/>
      <c r="AC82" s="122"/>
      <c r="AD82" s="122"/>
      <c r="AE82" s="122"/>
      <c r="AF82" s="122"/>
      <c r="AG82" s="122"/>
      <c r="AH82" s="122"/>
      <c r="AI82" s="122"/>
      <c r="AJ82" s="122"/>
      <c r="AK82" s="122"/>
      <c r="AL82" s="122"/>
      <c r="AM82" s="122"/>
      <c r="AN82" s="122"/>
      <c r="AO82" s="122"/>
      <c r="AP82" s="122"/>
      <c r="AQ82" s="122"/>
      <c r="AR82" s="122"/>
      <c r="AS82" s="122"/>
      <c r="AT82" s="122"/>
      <c r="AU82" s="122"/>
      <c r="AV82" s="122"/>
      <c r="AW82" s="122"/>
      <c r="AX82" s="122"/>
    </row>
    <row r="83" spans="1:50" ht="15" customHeight="1" x14ac:dyDescent="0.2">
      <c r="A83" s="122"/>
      <c r="B83" s="122"/>
      <c r="C83" s="122"/>
      <c r="D83" s="122"/>
      <c r="E83" s="122"/>
      <c r="F83" s="122"/>
      <c r="G83" s="122"/>
      <c r="H83" s="122"/>
      <c r="I83" s="122"/>
      <c r="J83" s="122"/>
      <c r="K83" s="122"/>
      <c r="L83" s="122"/>
      <c r="M83" s="122"/>
      <c r="N83" s="122"/>
      <c r="O83" s="122"/>
      <c r="P83" s="122"/>
      <c r="Q83" s="122"/>
      <c r="R83" s="122"/>
      <c r="S83" s="122"/>
      <c r="T83" s="122"/>
      <c r="U83" s="122"/>
      <c r="V83" s="122"/>
      <c r="W83" s="122"/>
      <c r="X83" s="122"/>
      <c r="Y83" s="122"/>
      <c r="Z83" s="122"/>
      <c r="AA83" s="122"/>
      <c r="AB83" s="122"/>
      <c r="AC83" s="122"/>
      <c r="AD83" s="122"/>
      <c r="AE83" s="122"/>
      <c r="AF83" s="122"/>
      <c r="AG83" s="122"/>
      <c r="AH83" s="122"/>
      <c r="AI83" s="122"/>
      <c r="AJ83" s="122"/>
      <c r="AK83" s="122"/>
      <c r="AL83" s="122"/>
      <c r="AM83" s="122"/>
      <c r="AN83" s="122"/>
      <c r="AO83" s="122"/>
      <c r="AP83" s="122"/>
      <c r="AQ83" s="122"/>
      <c r="AR83" s="122"/>
      <c r="AS83" s="122"/>
      <c r="AT83" s="122"/>
      <c r="AU83" s="122"/>
      <c r="AV83" s="122"/>
      <c r="AW83" s="122"/>
      <c r="AX83" s="122"/>
    </row>
    <row r="84" spans="1:50" ht="15" customHeight="1" x14ac:dyDescent="0.2">
      <c r="A84" s="122"/>
      <c r="B84" s="122"/>
      <c r="C84" s="122"/>
      <c r="D84" s="122"/>
      <c r="E84" s="122"/>
      <c r="F84" s="122"/>
      <c r="G84" s="122"/>
      <c r="H84" s="122"/>
      <c r="I84" s="122"/>
      <c r="J84" s="122"/>
      <c r="K84" s="122"/>
      <c r="L84" s="122"/>
      <c r="M84" s="122"/>
      <c r="N84" s="122"/>
      <c r="O84" s="122"/>
      <c r="P84" s="122"/>
      <c r="Q84" s="122"/>
      <c r="R84" s="122"/>
      <c r="S84" s="122"/>
      <c r="T84" s="122"/>
      <c r="U84" s="122"/>
      <c r="V84" s="122"/>
      <c r="W84" s="122"/>
      <c r="X84" s="122"/>
      <c r="Y84" s="122"/>
      <c r="Z84" s="122"/>
      <c r="AA84" s="122"/>
      <c r="AB84" s="122"/>
      <c r="AC84" s="122"/>
      <c r="AD84" s="122"/>
      <c r="AE84" s="122"/>
      <c r="AF84" s="122"/>
      <c r="AG84" s="122"/>
      <c r="AH84" s="122"/>
      <c r="AI84" s="122"/>
      <c r="AJ84" s="122"/>
      <c r="AK84" s="122"/>
      <c r="AL84" s="122"/>
      <c r="AM84" s="122"/>
      <c r="AN84" s="122"/>
      <c r="AO84" s="122"/>
      <c r="AP84" s="122"/>
      <c r="AQ84" s="122"/>
      <c r="AR84" s="122"/>
      <c r="AS84" s="122"/>
      <c r="AT84" s="122"/>
      <c r="AU84" s="122"/>
      <c r="AV84" s="122"/>
      <c r="AW84" s="122"/>
      <c r="AX84" s="122"/>
    </row>
    <row r="85" spans="1:50" ht="15" customHeight="1" x14ac:dyDescent="0.2">
      <c r="A85" s="122"/>
      <c r="B85" s="122"/>
      <c r="C85" s="122"/>
      <c r="D85" s="122"/>
      <c r="E85" s="122"/>
      <c r="F85" s="122"/>
      <c r="G85" s="122"/>
      <c r="H85" s="122"/>
      <c r="I85" s="122"/>
      <c r="J85" s="122"/>
      <c r="K85" s="122"/>
      <c r="L85" s="122"/>
      <c r="M85" s="122"/>
      <c r="N85" s="122"/>
      <c r="O85" s="122"/>
      <c r="P85" s="122"/>
      <c r="Q85" s="122"/>
      <c r="R85" s="122"/>
      <c r="S85" s="122"/>
      <c r="T85" s="122"/>
      <c r="U85" s="122"/>
      <c r="V85" s="122"/>
      <c r="W85" s="122"/>
      <c r="X85" s="122"/>
      <c r="Y85" s="122"/>
      <c r="Z85" s="122"/>
      <c r="AA85" s="122"/>
      <c r="AB85" s="122"/>
      <c r="AC85" s="122"/>
      <c r="AD85" s="122"/>
      <c r="AE85" s="122"/>
      <c r="AF85" s="122"/>
      <c r="AG85" s="122"/>
      <c r="AH85" s="122"/>
      <c r="AI85" s="122"/>
      <c r="AJ85" s="122"/>
      <c r="AK85" s="122"/>
      <c r="AL85" s="122"/>
      <c r="AM85" s="122"/>
      <c r="AN85" s="122"/>
      <c r="AO85" s="122"/>
      <c r="AP85" s="122"/>
      <c r="AQ85" s="122"/>
      <c r="AR85" s="122"/>
      <c r="AS85" s="122"/>
      <c r="AT85" s="122"/>
      <c r="AU85" s="122"/>
      <c r="AV85" s="122"/>
      <c r="AW85" s="122"/>
      <c r="AX85" s="122"/>
    </row>
    <row r="86" spans="1:50" ht="15" customHeight="1" x14ac:dyDescent="0.2">
      <c r="A86" s="122"/>
      <c r="B86" s="122"/>
      <c r="C86" s="122"/>
      <c r="D86" s="122"/>
      <c r="E86" s="122"/>
      <c r="F86" s="122"/>
      <c r="G86" s="122"/>
      <c r="H86" s="122"/>
      <c r="I86" s="122"/>
      <c r="J86" s="122"/>
      <c r="K86" s="122"/>
      <c r="L86" s="122"/>
      <c r="M86" s="122"/>
      <c r="N86" s="122"/>
      <c r="O86" s="122"/>
      <c r="P86" s="122"/>
      <c r="Q86" s="122"/>
      <c r="R86" s="122"/>
      <c r="S86" s="122"/>
      <c r="T86" s="122"/>
      <c r="U86" s="122"/>
      <c r="V86" s="122"/>
      <c r="W86" s="122"/>
      <c r="X86" s="122"/>
      <c r="Y86" s="122"/>
      <c r="Z86" s="122"/>
      <c r="AA86" s="122"/>
      <c r="AB86" s="122"/>
      <c r="AC86" s="122"/>
      <c r="AD86" s="122"/>
      <c r="AE86" s="122"/>
      <c r="AF86" s="122"/>
      <c r="AG86" s="122"/>
      <c r="AH86" s="122"/>
      <c r="AI86" s="122"/>
      <c r="AJ86" s="122"/>
      <c r="AK86" s="122"/>
      <c r="AL86" s="122"/>
      <c r="AM86" s="122"/>
      <c r="AN86" s="122"/>
      <c r="AO86" s="122"/>
      <c r="AP86" s="122"/>
      <c r="AQ86" s="122"/>
      <c r="AR86" s="122"/>
      <c r="AS86" s="122"/>
      <c r="AT86" s="122"/>
      <c r="AU86" s="122"/>
      <c r="AV86" s="122"/>
      <c r="AW86" s="122"/>
      <c r="AX86" s="122"/>
    </row>
    <row r="87" spans="1:50" ht="15" customHeight="1" x14ac:dyDescent="0.2">
      <c r="A87" s="122"/>
      <c r="B87" s="122"/>
      <c r="C87" s="122"/>
      <c r="D87" s="122"/>
      <c r="E87" s="122"/>
      <c r="F87" s="122"/>
      <c r="G87" s="122"/>
      <c r="H87" s="122"/>
      <c r="I87" s="122"/>
      <c r="J87" s="122"/>
      <c r="K87" s="122"/>
      <c r="L87" s="122"/>
      <c r="M87" s="122"/>
      <c r="N87" s="122"/>
      <c r="O87" s="122"/>
      <c r="P87" s="122"/>
      <c r="Q87" s="122"/>
      <c r="R87" s="122"/>
      <c r="S87" s="122"/>
      <c r="T87" s="122"/>
      <c r="U87" s="122"/>
      <c r="V87" s="122"/>
      <c r="W87" s="122"/>
      <c r="X87" s="122"/>
      <c r="Y87" s="122"/>
      <c r="Z87" s="122"/>
      <c r="AA87" s="122"/>
      <c r="AB87" s="122"/>
      <c r="AC87" s="122"/>
      <c r="AD87" s="122"/>
      <c r="AE87" s="122"/>
      <c r="AF87" s="122"/>
      <c r="AG87" s="122"/>
      <c r="AH87" s="122"/>
      <c r="AI87" s="122"/>
      <c r="AJ87" s="122"/>
      <c r="AK87" s="122"/>
      <c r="AL87" s="122"/>
      <c r="AM87" s="122"/>
      <c r="AN87" s="122"/>
      <c r="AO87" s="122"/>
      <c r="AP87" s="122"/>
      <c r="AQ87" s="122"/>
      <c r="AR87" s="122"/>
      <c r="AS87" s="122"/>
      <c r="AT87" s="122"/>
      <c r="AU87" s="122"/>
      <c r="AV87" s="122"/>
      <c r="AW87" s="122"/>
      <c r="AX87" s="122"/>
    </row>
    <row r="88" spans="1:50" ht="15" customHeight="1" x14ac:dyDescent="0.2">
      <c r="A88" s="122"/>
      <c r="B88" s="122"/>
      <c r="C88" s="122"/>
      <c r="D88" s="122"/>
      <c r="E88" s="122"/>
      <c r="F88" s="122"/>
      <c r="G88" s="122"/>
      <c r="H88" s="122"/>
      <c r="I88" s="122"/>
      <c r="J88" s="122"/>
      <c r="K88" s="122"/>
      <c r="L88" s="122"/>
      <c r="M88" s="122"/>
      <c r="N88" s="122"/>
      <c r="O88" s="122"/>
      <c r="P88" s="122"/>
      <c r="Q88" s="122"/>
      <c r="R88" s="122"/>
      <c r="S88" s="122"/>
      <c r="T88" s="122"/>
      <c r="U88" s="122"/>
      <c r="V88" s="122"/>
      <c r="W88" s="122"/>
      <c r="X88" s="122"/>
      <c r="Y88" s="122"/>
      <c r="Z88" s="122"/>
      <c r="AA88" s="122"/>
      <c r="AB88" s="122"/>
      <c r="AC88" s="122"/>
      <c r="AD88" s="122"/>
      <c r="AE88" s="122"/>
      <c r="AF88" s="122"/>
      <c r="AG88" s="122"/>
      <c r="AH88" s="122"/>
      <c r="AI88" s="122"/>
      <c r="AJ88" s="122"/>
      <c r="AK88" s="122"/>
      <c r="AL88" s="122"/>
      <c r="AM88" s="122"/>
      <c r="AN88" s="122"/>
      <c r="AO88" s="122"/>
      <c r="AP88" s="122"/>
      <c r="AQ88" s="122"/>
      <c r="AR88" s="122"/>
      <c r="AS88" s="122"/>
      <c r="AT88" s="122"/>
      <c r="AU88" s="122"/>
      <c r="AV88" s="122"/>
      <c r="AW88" s="122"/>
      <c r="AX88" s="122"/>
    </row>
    <row r="89" spans="1:50" ht="15" customHeight="1" x14ac:dyDescent="0.2">
      <c r="A89" s="122"/>
      <c r="B89" s="122"/>
      <c r="C89" s="122"/>
      <c r="D89" s="122"/>
      <c r="E89" s="122"/>
      <c r="F89" s="122"/>
      <c r="G89" s="122"/>
      <c r="H89" s="122"/>
      <c r="I89" s="122"/>
      <c r="J89" s="122"/>
      <c r="K89" s="122"/>
      <c r="L89" s="122"/>
      <c r="M89" s="122"/>
      <c r="N89" s="122"/>
      <c r="O89" s="122"/>
      <c r="P89" s="122"/>
      <c r="Q89" s="122"/>
      <c r="R89" s="122"/>
      <c r="S89" s="122"/>
      <c r="T89" s="122"/>
      <c r="U89" s="122"/>
      <c r="V89" s="122"/>
      <c r="W89" s="122"/>
      <c r="X89" s="122"/>
      <c r="Y89" s="122"/>
      <c r="Z89" s="122"/>
      <c r="AA89" s="122"/>
      <c r="AB89" s="122"/>
      <c r="AC89" s="122"/>
      <c r="AD89" s="122"/>
      <c r="AE89" s="122"/>
      <c r="AF89" s="122"/>
      <c r="AG89" s="122"/>
      <c r="AH89" s="122"/>
      <c r="AI89" s="122"/>
      <c r="AJ89" s="122"/>
      <c r="AK89" s="122"/>
      <c r="AL89" s="122"/>
      <c r="AM89" s="122"/>
      <c r="AN89" s="122"/>
      <c r="AO89" s="122"/>
      <c r="AP89" s="122"/>
      <c r="AQ89" s="122"/>
      <c r="AR89" s="122"/>
      <c r="AS89" s="122"/>
      <c r="AT89" s="122"/>
      <c r="AU89" s="122"/>
      <c r="AV89" s="122"/>
      <c r="AW89" s="122"/>
      <c r="AX89" s="122"/>
    </row>
    <row r="90" spans="1:50" ht="15" customHeight="1" x14ac:dyDescent="0.2">
      <c r="A90" s="122"/>
      <c r="B90" s="122"/>
      <c r="C90" s="122"/>
      <c r="D90" s="122"/>
      <c r="E90" s="122"/>
      <c r="F90" s="122"/>
      <c r="G90" s="122"/>
      <c r="H90" s="122"/>
      <c r="I90" s="122"/>
      <c r="J90" s="122"/>
      <c r="K90" s="122"/>
      <c r="L90" s="122"/>
      <c r="M90" s="122"/>
      <c r="N90" s="122"/>
      <c r="O90" s="122"/>
      <c r="P90" s="122"/>
      <c r="Q90" s="122"/>
      <c r="R90" s="122"/>
      <c r="S90" s="122"/>
      <c r="T90" s="122"/>
      <c r="U90" s="122"/>
      <c r="V90" s="122"/>
      <c r="W90" s="122"/>
      <c r="X90" s="122"/>
      <c r="Y90" s="122"/>
      <c r="Z90" s="122"/>
      <c r="AA90" s="122"/>
      <c r="AB90" s="122"/>
      <c r="AC90" s="122"/>
      <c r="AD90" s="122"/>
      <c r="AE90" s="122"/>
      <c r="AF90" s="122"/>
      <c r="AG90" s="122"/>
      <c r="AH90" s="122"/>
      <c r="AI90" s="122"/>
      <c r="AJ90" s="122"/>
      <c r="AK90" s="122"/>
      <c r="AL90" s="122"/>
      <c r="AM90" s="122"/>
      <c r="AN90" s="122"/>
      <c r="AO90" s="122"/>
      <c r="AP90" s="122"/>
      <c r="AQ90" s="122"/>
      <c r="AR90" s="122"/>
      <c r="AS90" s="122"/>
      <c r="AT90" s="122"/>
      <c r="AU90" s="122"/>
      <c r="AV90" s="122"/>
      <c r="AW90" s="122"/>
      <c r="AX90" s="122"/>
    </row>
    <row r="91" spans="1:50" ht="15" customHeight="1" x14ac:dyDescent="0.2">
      <c r="A91" s="122"/>
      <c r="B91" s="122"/>
      <c r="C91" s="122"/>
      <c r="D91" s="122"/>
      <c r="E91" s="122"/>
      <c r="F91" s="122"/>
      <c r="G91" s="122"/>
      <c r="H91" s="122"/>
      <c r="I91" s="122"/>
      <c r="J91" s="122"/>
      <c r="K91" s="122"/>
      <c r="L91" s="122"/>
      <c r="M91" s="122"/>
      <c r="N91" s="122"/>
      <c r="O91" s="122"/>
      <c r="P91" s="122"/>
      <c r="Q91" s="122"/>
      <c r="R91" s="122"/>
      <c r="S91" s="122"/>
      <c r="T91" s="122"/>
      <c r="U91" s="122"/>
      <c r="V91" s="122"/>
      <c r="W91" s="122"/>
      <c r="X91" s="122"/>
      <c r="Y91" s="122"/>
      <c r="Z91" s="122"/>
      <c r="AA91" s="122"/>
      <c r="AB91" s="122"/>
      <c r="AC91" s="122"/>
      <c r="AD91" s="122"/>
      <c r="AE91" s="122"/>
      <c r="AF91" s="122"/>
      <c r="AG91" s="122"/>
      <c r="AH91" s="122"/>
      <c r="AI91" s="122"/>
      <c r="AJ91" s="122"/>
      <c r="AK91" s="122"/>
      <c r="AL91" s="122"/>
      <c r="AM91" s="122"/>
      <c r="AN91" s="122"/>
      <c r="AO91" s="122"/>
      <c r="AP91" s="122"/>
      <c r="AQ91" s="122"/>
      <c r="AR91" s="122"/>
      <c r="AS91" s="122"/>
      <c r="AT91" s="122"/>
      <c r="AU91" s="122"/>
      <c r="AV91" s="122"/>
      <c r="AW91" s="122"/>
      <c r="AX91" s="122"/>
    </row>
    <row r="92" spans="1:50" ht="15" customHeight="1" x14ac:dyDescent="0.2">
      <c r="A92" s="122"/>
      <c r="B92" s="122"/>
      <c r="C92" s="122"/>
      <c r="D92" s="122"/>
      <c r="E92" s="122"/>
      <c r="F92" s="122"/>
      <c r="G92" s="122"/>
      <c r="H92" s="122"/>
      <c r="I92" s="122"/>
      <c r="J92" s="122"/>
      <c r="K92" s="122"/>
      <c r="L92" s="122"/>
      <c r="M92" s="122"/>
      <c r="N92" s="122"/>
      <c r="O92" s="122"/>
      <c r="P92" s="122"/>
      <c r="Q92" s="122"/>
      <c r="R92" s="122"/>
      <c r="S92" s="122"/>
      <c r="T92" s="122"/>
      <c r="U92" s="122"/>
      <c r="V92" s="122"/>
      <c r="W92" s="122"/>
      <c r="X92" s="122"/>
      <c r="Y92" s="122"/>
      <c r="Z92" s="122"/>
      <c r="AA92" s="122"/>
      <c r="AB92" s="122"/>
      <c r="AC92" s="122"/>
      <c r="AD92" s="122"/>
      <c r="AE92" s="122"/>
      <c r="AF92" s="122"/>
      <c r="AG92" s="122"/>
      <c r="AH92" s="122"/>
      <c r="AI92" s="122"/>
      <c r="AJ92" s="122"/>
      <c r="AK92" s="122"/>
      <c r="AL92" s="122"/>
      <c r="AM92" s="122"/>
      <c r="AN92" s="122"/>
      <c r="AO92" s="122"/>
      <c r="AP92" s="122"/>
      <c r="AQ92" s="122"/>
      <c r="AR92" s="122"/>
      <c r="AS92" s="122"/>
      <c r="AT92" s="122"/>
      <c r="AU92" s="122"/>
      <c r="AV92" s="122"/>
      <c r="AW92" s="122"/>
      <c r="AX92" s="122"/>
    </row>
    <row r="93" spans="1:50" ht="15" customHeight="1" x14ac:dyDescent="0.2">
      <c r="A93" s="122"/>
      <c r="B93" s="122"/>
      <c r="C93" s="122"/>
      <c r="D93" s="122"/>
      <c r="E93" s="122"/>
      <c r="F93" s="122"/>
      <c r="G93" s="122"/>
      <c r="H93" s="122"/>
      <c r="I93" s="122"/>
      <c r="J93" s="122"/>
      <c r="K93" s="122"/>
      <c r="L93" s="122"/>
      <c r="M93" s="122"/>
      <c r="N93" s="122"/>
      <c r="O93" s="122"/>
      <c r="P93" s="122"/>
      <c r="Q93" s="122"/>
      <c r="R93" s="122"/>
      <c r="S93" s="122"/>
      <c r="T93" s="122"/>
      <c r="U93" s="122"/>
      <c r="V93" s="122"/>
      <c r="W93" s="122"/>
      <c r="X93" s="122"/>
      <c r="Y93" s="122"/>
      <c r="Z93" s="122"/>
      <c r="AA93" s="122"/>
      <c r="AB93" s="122"/>
      <c r="AC93" s="122"/>
      <c r="AD93" s="122"/>
      <c r="AE93" s="122"/>
      <c r="AF93" s="122"/>
      <c r="AG93" s="122"/>
      <c r="AH93" s="122"/>
      <c r="AI93" s="122"/>
      <c r="AJ93" s="122"/>
      <c r="AK93" s="122"/>
      <c r="AL93" s="122"/>
      <c r="AM93" s="122"/>
      <c r="AN93" s="122"/>
      <c r="AO93" s="122"/>
      <c r="AP93" s="122"/>
      <c r="AQ93" s="122"/>
      <c r="AR93" s="122"/>
      <c r="AS93" s="122"/>
      <c r="AT93" s="122"/>
      <c r="AU93" s="122"/>
      <c r="AV93" s="122"/>
      <c r="AW93" s="122"/>
      <c r="AX93" s="122"/>
    </row>
    <row r="94" spans="1:50" ht="15" customHeight="1" x14ac:dyDescent="0.2">
      <c r="A94" s="122"/>
      <c r="B94" s="122"/>
      <c r="C94" s="122"/>
      <c r="D94" s="122"/>
      <c r="E94" s="122"/>
      <c r="F94" s="122"/>
      <c r="G94" s="122"/>
      <c r="H94" s="122"/>
      <c r="I94" s="122"/>
      <c r="J94" s="122"/>
      <c r="K94" s="122"/>
      <c r="L94" s="122"/>
      <c r="M94" s="122"/>
      <c r="N94" s="122"/>
      <c r="O94" s="122"/>
      <c r="P94" s="122"/>
      <c r="Q94" s="122"/>
      <c r="R94" s="122"/>
      <c r="S94" s="122"/>
      <c r="T94" s="122"/>
      <c r="U94" s="122"/>
      <c r="V94" s="122"/>
      <c r="W94" s="122"/>
      <c r="X94" s="122"/>
      <c r="Y94" s="122"/>
      <c r="Z94" s="122"/>
      <c r="AA94" s="122"/>
      <c r="AB94" s="122"/>
      <c r="AC94" s="122"/>
      <c r="AD94" s="122"/>
      <c r="AE94" s="122"/>
      <c r="AF94" s="122"/>
      <c r="AG94" s="122"/>
      <c r="AH94" s="122"/>
      <c r="AI94" s="122"/>
      <c r="AJ94" s="122"/>
      <c r="AK94" s="122"/>
      <c r="AL94" s="122"/>
      <c r="AM94" s="122"/>
      <c r="AN94" s="122"/>
      <c r="AO94" s="122"/>
      <c r="AP94" s="122"/>
      <c r="AQ94" s="122"/>
      <c r="AR94" s="122"/>
      <c r="AS94" s="122"/>
      <c r="AT94" s="122"/>
      <c r="AU94" s="122"/>
      <c r="AV94" s="122"/>
      <c r="AW94" s="122"/>
      <c r="AX94" s="122"/>
    </row>
    <row r="95" spans="1:50" ht="15" customHeight="1" x14ac:dyDescent="0.2">
      <c r="A95" s="122"/>
      <c r="B95" s="122"/>
      <c r="C95" s="122"/>
      <c r="D95" s="122"/>
      <c r="E95" s="122"/>
      <c r="F95" s="122"/>
      <c r="G95" s="122"/>
      <c r="H95" s="122"/>
      <c r="I95" s="122"/>
      <c r="J95" s="122"/>
      <c r="K95" s="122"/>
      <c r="L95" s="122"/>
      <c r="M95" s="122"/>
      <c r="N95" s="122"/>
      <c r="O95" s="122"/>
      <c r="P95" s="122"/>
      <c r="Q95" s="122"/>
      <c r="R95" s="122"/>
      <c r="S95" s="122"/>
      <c r="T95" s="122"/>
      <c r="U95" s="122"/>
      <c r="V95" s="122"/>
      <c r="W95" s="122"/>
      <c r="X95" s="122"/>
      <c r="Y95" s="122"/>
      <c r="Z95" s="122"/>
      <c r="AA95" s="122"/>
      <c r="AB95" s="122"/>
      <c r="AC95" s="122"/>
      <c r="AD95" s="122"/>
      <c r="AE95" s="122"/>
      <c r="AF95" s="122"/>
      <c r="AG95" s="122"/>
      <c r="AH95" s="122"/>
      <c r="AI95" s="122"/>
      <c r="AJ95" s="122"/>
      <c r="AK95" s="122"/>
      <c r="AL95" s="122"/>
      <c r="AM95" s="122"/>
      <c r="AN95" s="122"/>
      <c r="AO95" s="122"/>
      <c r="AP95" s="122"/>
      <c r="AQ95" s="122"/>
      <c r="AR95" s="122"/>
      <c r="AS95" s="122"/>
      <c r="AT95" s="122"/>
      <c r="AU95" s="122"/>
      <c r="AV95" s="122"/>
      <c r="AW95" s="122"/>
      <c r="AX95" s="122"/>
    </row>
    <row r="96" spans="1:50" ht="15" customHeight="1" x14ac:dyDescent="0.2">
      <c r="A96" s="122"/>
      <c r="B96" s="122"/>
      <c r="C96" s="122"/>
      <c r="D96" s="122"/>
      <c r="E96" s="122"/>
      <c r="F96" s="122"/>
      <c r="G96" s="122"/>
      <c r="H96" s="122"/>
      <c r="I96" s="122"/>
      <c r="J96" s="122"/>
      <c r="K96" s="122"/>
      <c r="L96" s="122"/>
      <c r="M96" s="122"/>
      <c r="N96" s="122"/>
      <c r="O96" s="122"/>
      <c r="P96" s="122"/>
      <c r="Q96" s="122"/>
      <c r="R96" s="122"/>
      <c r="S96" s="122"/>
      <c r="T96" s="122"/>
      <c r="U96" s="122"/>
      <c r="V96" s="122"/>
      <c r="W96" s="122"/>
      <c r="X96" s="122"/>
      <c r="Y96" s="122"/>
      <c r="Z96" s="122"/>
      <c r="AA96" s="122"/>
      <c r="AB96" s="122"/>
      <c r="AC96" s="122"/>
      <c r="AD96" s="122"/>
      <c r="AE96" s="122"/>
      <c r="AF96" s="122"/>
      <c r="AG96" s="122"/>
      <c r="AH96" s="122"/>
      <c r="AI96" s="122"/>
      <c r="AJ96" s="122"/>
      <c r="AK96" s="122"/>
      <c r="AL96" s="122"/>
      <c r="AM96" s="122"/>
      <c r="AN96" s="122"/>
      <c r="AO96" s="122"/>
      <c r="AP96" s="122"/>
      <c r="AQ96" s="122"/>
      <c r="AR96" s="122"/>
      <c r="AS96" s="122"/>
      <c r="AT96" s="122"/>
      <c r="AU96" s="122"/>
      <c r="AV96" s="122"/>
      <c r="AW96" s="122"/>
      <c r="AX96" s="122"/>
    </row>
    <row r="97" spans="1:50" ht="15" customHeight="1" x14ac:dyDescent="0.2">
      <c r="A97" s="122"/>
      <c r="B97" s="122"/>
      <c r="C97" s="122"/>
      <c r="D97" s="122"/>
      <c r="E97" s="122"/>
      <c r="F97" s="122"/>
      <c r="G97" s="122"/>
      <c r="H97" s="122"/>
      <c r="I97" s="122"/>
      <c r="J97" s="122"/>
      <c r="K97" s="122"/>
      <c r="L97" s="122"/>
      <c r="M97" s="122"/>
      <c r="N97" s="122"/>
      <c r="O97" s="122"/>
      <c r="P97" s="122"/>
      <c r="Q97" s="122"/>
      <c r="R97" s="122"/>
      <c r="S97" s="122"/>
      <c r="T97" s="122"/>
      <c r="U97" s="122"/>
      <c r="V97" s="122"/>
      <c r="W97" s="122"/>
      <c r="X97" s="122"/>
      <c r="Y97" s="122"/>
      <c r="Z97" s="122"/>
      <c r="AA97" s="122"/>
      <c r="AB97" s="122"/>
      <c r="AC97" s="122"/>
      <c r="AD97" s="122"/>
      <c r="AE97" s="122"/>
      <c r="AF97" s="122"/>
      <c r="AG97" s="122"/>
      <c r="AH97" s="122"/>
      <c r="AI97" s="122"/>
      <c r="AJ97" s="122"/>
      <c r="AK97" s="122"/>
      <c r="AL97" s="122"/>
      <c r="AM97" s="122"/>
      <c r="AN97" s="122"/>
      <c r="AO97" s="122"/>
      <c r="AP97" s="122"/>
      <c r="AQ97" s="122"/>
      <c r="AR97" s="122"/>
      <c r="AS97" s="122"/>
      <c r="AT97" s="122"/>
      <c r="AU97" s="122"/>
      <c r="AV97" s="122"/>
      <c r="AW97" s="122"/>
      <c r="AX97" s="122"/>
    </row>
    <row r="98" spans="1:50" ht="15" customHeight="1" x14ac:dyDescent="0.2">
      <c r="A98" s="122"/>
      <c r="B98" s="122"/>
      <c r="C98" s="122"/>
      <c r="D98" s="122"/>
      <c r="E98" s="122"/>
      <c r="F98" s="122"/>
      <c r="G98" s="122"/>
      <c r="H98" s="122"/>
      <c r="I98" s="122"/>
      <c r="J98" s="122"/>
      <c r="K98" s="122"/>
      <c r="L98" s="122"/>
      <c r="M98" s="122"/>
      <c r="N98" s="122"/>
      <c r="O98" s="122"/>
      <c r="P98" s="122"/>
      <c r="Q98" s="122"/>
      <c r="R98" s="122"/>
      <c r="S98" s="122"/>
      <c r="T98" s="122"/>
      <c r="U98" s="122"/>
      <c r="V98" s="122"/>
      <c r="W98" s="122"/>
      <c r="X98" s="122"/>
      <c r="Y98" s="122"/>
      <c r="Z98" s="122"/>
      <c r="AA98" s="122"/>
      <c r="AB98" s="122"/>
      <c r="AC98" s="122"/>
      <c r="AD98" s="122"/>
      <c r="AE98" s="122"/>
      <c r="AF98" s="122"/>
      <c r="AG98" s="122"/>
      <c r="AH98" s="122"/>
      <c r="AI98" s="122"/>
      <c r="AJ98" s="122"/>
      <c r="AK98" s="122"/>
      <c r="AL98" s="122"/>
      <c r="AM98" s="122"/>
      <c r="AN98" s="122"/>
      <c r="AO98" s="122"/>
      <c r="AP98" s="122"/>
      <c r="AQ98" s="122"/>
      <c r="AR98" s="122"/>
      <c r="AS98" s="122"/>
      <c r="AT98" s="122"/>
      <c r="AU98" s="122"/>
      <c r="AV98" s="122"/>
      <c r="AW98" s="122"/>
      <c r="AX98" s="122"/>
    </row>
    <row r="99" spans="1:50" ht="15" customHeight="1" x14ac:dyDescent="0.2">
      <c r="A99" s="122"/>
      <c r="B99" s="122"/>
      <c r="C99" s="122"/>
      <c r="D99" s="122"/>
      <c r="E99" s="122"/>
      <c r="F99" s="122"/>
      <c r="G99" s="122"/>
      <c r="H99" s="122"/>
      <c r="I99" s="122"/>
      <c r="J99" s="122"/>
      <c r="K99" s="122"/>
      <c r="L99" s="122"/>
      <c r="M99" s="122"/>
      <c r="N99" s="122"/>
      <c r="O99" s="122"/>
      <c r="P99" s="122"/>
      <c r="Q99" s="122"/>
      <c r="R99" s="122"/>
      <c r="S99" s="122"/>
      <c r="T99" s="122"/>
      <c r="U99" s="122"/>
      <c r="V99" s="122"/>
      <c r="W99" s="122"/>
      <c r="X99" s="122"/>
      <c r="Y99" s="122"/>
      <c r="Z99" s="122"/>
      <c r="AA99" s="122"/>
      <c r="AB99" s="122"/>
      <c r="AC99" s="122"/>
      <c r="AD99" s="122"/>
      <c r="AE99" s="122"/>
      <c r="AF99" s="122"/>
      <c r="AG99" s="122"/>
      <c r="AH99" s="122"/>
      <c r="AI99" s="122"/>
      <c r="AJ99" s="122"/>
      <c r="AK99" s="122"/>
      <c r="AL99" s="122"/>
      <c r="AM99" s="122"/>
      <c r="AN99" s="122"/>
      <c r="AO99" s="122"/>
      <c r="AP99" s="122"/>
      <c r="AQ99" s="122"/>
      <c r="AR99" s="122"/>
      <c r="AS99" s="122"/>
      <c r="AT99" s="122"/>
      <c r="AU99" s="122"/>
      <c r="AV99" s="122"/>
      <c r="AW99" s="122"/>
      <c r="AX99" s="122"/>
    </row>
    <row r="100" spans="1:50" ht="15" customHeight="1" x14ac:dyDescent="0.2">
      <c r="A100" s="122"/>
      <c r="B100" s="122"/>
      <c r="C100" s="122"/>
      <c r="D100" s="122"/>
      <c r="E100" s="122"/>
      <c r="F100" s="122"/>
      <c r="G100" s="122"/>
      <c r="H100" s="122"/>
      <c r="I100" s="122"/>
      <c r="J100" s="122"/>
      <c r="K100" s="122"/>
      <c r="L100" s="122"/>
      <c r="M100" s="122"/>
      <c r="N100" s="122"/>
      <c r="O100" s="122"/>
      <c r="P100" s="122"/>
      <c r="Q100" s="122"/>
      <c r="R100" s="122"/>
      <c r="S100" s="122"/>
      <c r="T100" s="122"/>
      <c r="U100" s="122"/>
      <c r="V100" s="122"/>
      <c r="W100" s="122"/>
      <c r="X100" s="122"/>
      <c r="Y100" s="122"/>
      <c r="Z100" s="122"/>
      <c r="AA100" s="122"/>
      <c r="AB100" s="122"/>
      <c r="AC100" s="122"/>
      <c r="AD100" s="122"/>
      <c r="AE100" s="122"/>
      <c r="AF100" s="122"/>
      <c r="AG100" s="122"/>
      <c r="AH100" s="122"/>
      <c r="AI100" s="122"/>
      <c r="AJ100" s="122"/>
      <c r="AK100" s="122"/>
      <c r="AL100" s="122"/>
      <c r="AM100" s="122"/>
      <c r="AN100" s="122"/>
      <c r="AO100" s="122"/>
      <c r="AP100" s="122"/>
      <c r="AQ100" s="122"/>
      <c r="AR100" s="122"/>
      <c r="AS100" s="122"/>
      <c r="AT100" s="122"/>
      <c r="AU100" s="122"/>
      <c r="AV100" s="122"/>
      <c r="AW100" s="122"/>
      <c r="AX100" s="122"/>
    </row>
  </sheetData>
  <sheetProtection password="DD2A" sheet="1" objects="1" scenarios="1"/>
  <mergeCells count="6">
    <mergeCell ref="A15:I15"/>
    <mergeCell ref="A5:F5"/>
    <mergeCell ref="G12:J12"/>
    <mergeCell ref="A9:F9"/>
    <mergeCell ref="A12:F12"/>
    <mergeCell ref="A14:I14"/>
  </mergeCells>
  <phoneticPr fontId="0" type="noConversion"/>
  <printOptions gridLinesSet="0"/>
  <pageMargins left="0" right="0" top="0" bottom="0" header="0.5" footer="0.5"/>
  <pageSetup paperSize="0"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Worksheets</vt:lpstr>
      </vt:variant>
      <vt:variant>
        <vt:i4>11</vt:i4>
      </vt:variant>
      <vt:variant>
        <vt:lpstr>Named Ranges</vt:lpstr>
      </vt:variant>
      <vt:variant>
        <vt:i4>17</vt:i4>
      </vt:variant>
    </vt:vector>
  </HeadingPairs>
  <TitlesOfParts>
    <vt:vector size="28" baseType="lpstr">
      <vt:lpstr>Table of Contents</vt:lpstr>
      <vt:lpstr>Translation Table - 2025</vt:lpstr>
      <vt:lpstr>Multi Seg Seg</vt:lpstr>
      <vt:lpstr>Multi-Seg Seg Raw</vt:lpstr>
      <vt:lpstr>Response Dana Point, CA+</vt:lpstr>
      <vt:lpstr>Response Newport Beach, CA+</vt:lpstr>
      <vt:lpstr>Response La Jolla, CA+</vt:lpstr>
      <vt:lpstr>Response Santa Barbara, CA+</vt:lpstr>
      <vt:lpstr>Resp Monterey-Carmel, CA+</vt:lpstr>
      <vt:lpstr>Response Hunting Beach, CA+</vt:lpstr>
      <vt:lpstr>Help</vt:lpstr>
      <vt:lpstr>Help!Print_Area</vt:lpstr>
      <vt:lpstr>Multi Seg Seg!Print_Area</vt:lpstr>
      <vt:lpstr>Multi-Seg Seg Raw!Print_Area</vt:lpstr>
      <vt:lpstr>Resp Monterey-Carmel, CA+!Print_Area</vt:lpstr>
      <vt:lpstr>Response Dana Point, CA+!Print_Area</vt:lpstr>
      <vt:lpstr>Response Hunting Beach, CA+!Print_Area</vt:lpstr>
      <vt:lpstr>Response La Jolla, CA+!Print_Area</vt:lpstr>
      <vt:lpstr>Response Newport Beach, CA+!Print_Area</vt:lpstr>
      <vt:lpstr>Response Santa Barbara, CA+!Print_Area</vt:lpstr>
      <vt:lpstr>Table of Contents!Print_Area</vt:lpstr>
      <vt:lpstr>Translation Table - 2025!Print_Area</vt:lpstr>
      <vt:lpstr>Resp Monterey-Carmel, CA+!Print_Titles</vt:lpstr>
      <vt:lpstr>Response Dana Point, CA+!Print_Titles</vt:lpstr>
      <vt:lpstr>Response Hunting Beach, CA+!Print_Titles</vt:lpstr>
      <vt:lpstr>Response La Jolla, CA+!Print_Titles</vt:lpstr>
      <vt:lpstr>Response Newport Beach, CA+!Print_Titles</vt:lpstr>
      <vt:lpstr>Response Santa Barbara, CA+!Print_Titles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2004-07-20T21:40:42Z</dcterms:created>
  <dcterms:modified xsi:type="dcterms:W3CDTF">2026-05-06T16:46:20Z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By">
    <vt:lpwstr>SoftArtisans OfficeWriter for Excel 11.0.0.825 (http://officewriter.softartisans.com)</vt:lpwstr>
  </property>
</Properties>
</file>